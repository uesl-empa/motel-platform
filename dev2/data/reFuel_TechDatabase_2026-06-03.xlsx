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comments7.xml" ContentType="application/vnd.openxmlformats-officedocument.spreadsheetml.comments+xml"/>
  <Override PartName="/xl/comments8.xml" ContentType="application/vnd.openxmlformats-officedocument.spreadsheetml.comments+xml"/>
  <Override PartName="/xl/threadedComments/threadedComment6.xml" ContentType="application/vnd.ms-excel.threadedcomments+xml"/>
  <Override PartName="/xl/comments9.xml" ContentType="application/vnd.openxmlformats-officedocument.spreadsheetml.comments+xml"/>
  <Override PartName="/xl/comments10.xml" ContentType="application/vnd.openxmlformats-officedocument.spreadsheetml.comments+xml"/>
  <Override PartName="/xl/drawings/drawing4.xml" ContentType="application/vnd.openxmlformats-officedocument.drawing+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empach.sharepoint.com/sites/external-project_reFuelWP3/Freigegebene Dokumente/General/Data/"/>
    </mc:Choice>
  </mc:AlternateContent>
  <xr:revisionPtr revIDLastSave="15188" documentId="13_ncr:1_{4F15FA51-0820-4D92-8A81-87838F7BE5DD}" xr6:coauthVersionLast="47" xr6:coauthVersionMax="47" xr10:uidLastSave="{F0B1AB8C-4920-4E55-88F7-D926A558D90D}"/>
  <bookViews>
    <workbookView xWindow="-108" yWindow="-108" windowWidth="23256" windowHeight="13896" firstSheet="6" activeTab="14" xr2:uid="{B72F99E1-A3DA-485B-8063-437528FC50FD}"/>
  </bookViews>
  <sheets>
    <sheet name="README" sheetId="25" r:id="rId1"/>
    <sheet name="Metadata" sheetId="28" r:id="rId2"/>
    <sheet name="Predefined" sheetId="33" r:id="rId3"/>
    <sheet name="Unique values" sheetId="34" state="hidden" r:id="rId4"/>
    <sheet name="Glossary" sheetId="30" r:id="rId5"/>
    <sheet name="Carrier" sheetId="3" r:id="rId6"/>
    <sheet name="Location" sheetId="5" r:id="rId7"/>
    <sheet name="Currency" sheetId="7" state="hidden" r:id="rId8"/>
    <sheet name="Process" sheetId="26" r:id="rId9"/>
    <sheet name="Process ID" sheetId="35" r:id="rId10"/>
    <sheet name="Technology ID" sheetId="36" r:id="rId11"/>
    <sheet name="LCA ID" sheetId="37" r:id="rId12"/>
    <sheet name="Reference ID" sheetId="10" r:id="rId13"/>
    <sheet name="SolarTech" sheetId="29" r:id="rId14"/>
    <sheet name="ConvTech" sheetId="8" r:id="rId15"/>
    <sheet name="StorTech" sheetId="21" r:id="rId16"/>
    <sheet name="TechMaturity" sheetId="6" r:id="rId17"/>
    <sheet name="ConvTech(old)" sheetId="9" state="hidden" r:id="rId18"/>
    <sheet name="Uncertainty" sheetId="32" r:id="rId19"/>
    <sheet name="Tech Constraints" sheetId="19" r:id="rId20"/>
    <sheet name="ImportExport Constraints" sheetId="22" r:id="rId21"/>
    <sheet name="Resource Constraints" sheetId="23" r:id="rId22"/>
    <sheet name="CO2 Constraints" sheetId="24" r:id="rId23"/>
    <sheet name="Tech data (long)" sheetId="12" state="hidden" r:id="rId24"/>
    <sheet name="System setup" sheetId="15" state="hidden" r:id="rId25"/>
    <sheet name="MOTEL" sheetId="16" state="hidden" r:id="rId26"/>
  </sheets>
  <definedNames>
    <definedName name="_xlnm._FilterDatabase" localSheetId="5">Carrier!$B$1:$H$55</definedName>
    <definedName name="_xlnm._FilterDatabase" localSheetId="14" hidden="1">ConvTech!$A$4:$BO$202</definedName>
    <definedName name="_xlnm._FilterDatabase" localSheetId="17" hidden="1">'ConvTech(old)'!$A$1:$AF$18</definedName>
    <definedName name="_xlnm._FilterDatabase" localSheetId="13" hidden="1">SolarTech!$E$3:$E$14</definedName>
    <definedName name="_xlnm._FilterDatabase" localSheetId="15" hidden="1">StorTech!$A$3:$AW$24</definedName>
    <definedName name="_xlnm._FilterDatabase" localSheetId="19" hidden="1">'Tech Constraints'!$A$1:$L$212</definedName>
    <definedName name="carrier_BioWet">Carrier!$A$3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8" l="1" a="1"/>
  <c r="C2" i="28" s="1"/>
  <c r="V194" i="8"/>
  <c r="V70" i="8"/>
  <c r="V71" i="8"/>
  <c r="V72" i="8"/>
  <c r="V73" i="8"/>
  <c r="V74" i="8"/>
  <c r="V75" i="8"/>
  <c r="V76" i="8"/>
  <c r="V77" i="8"/>
  <c r="V78" i="8"/>
  <c r="V79" i="8"/>
  <c r="V80" i="8"/>
  <c r="V81" i="8"/>
  <c r="V82" i="8"/>
  <c r="V83" i="8"/>
  <c r="V84" i="8"/>
  <c r="V85" i="8"/>
  <c r="V86" i="8"/>
  <c r="V87" i="8"/>
  <c r="V88" i="8"/>
  <c r="V89" i="8"/>
  <c r="V90" i="8"/>
  <c r="V91" i="8"/>
  <c r="V92" i="8"/>
  <c r="V93" i="8"/>
  <c r="V94" i="8"/>
  <c r="V95" i="8"/>
  <c r="V96" i="8"/>
  <c r="V97" i="8"/>
  <c r="V98" i="8"/>
  <c r="V99" i="8"/>
  <c r="V100" i="8"/>
  <c r="V101" i="8"/>
  <c r="V102" i="8"/>
  <c r="V103" i="8"/>
  <c r="V104" i="8"/>
  <c r="V105" i="8"/>
  <c r="V106" i="8"/>
  <c r="V107" i="8"/>
  <c r="V108" i="8"/>
  <c r="V109" i="8"/>
  <c r="V110" i="8"/>
  <c r="V111" i="8"/>
  <c r="V112" i="8"/>
  <c r="V113" i="8"/>
  <c r="V114" i="8"/>
  <c r="V115" i="8"/>
  <c r="V116" i="8"/>
  <c r="V117" i="8"/>
  <c r="V118" i="8"/>
  <c r="V119" i="8"/>
  <c r="V120" i="8"/>
  <c r="V121" i="8"/>
  <c r="V122" i="8"/>
  <c r="V123" i="8"/>
  <c r="V124" i="8"/>
  <c r="V125" i="8"/>
  <c r="V126" i="8"/>
  <c r="V127" i="8"/>
  <c r="V128" i="8"/>
  <c r="V129" i="8"/>
  <c r="V130" i="8"/>
  <c r="V131" i="8"/>
  <c r="V132" i="8"/>
  <c r="V133" i="8"/>
  <c r="V134" i="8"/>
  <c r="V135" i="8"/>
  <c r="V136" i="8"/>
  <c r="V137" i="8"/>
  <c r="V138" i="8"/>
  <c r="V139" i="8"/>
  <c r="V140" i="8"/>
  <c r="V141" i="8"/>
  <c r="V142" i="8"/>
  <c r="V143" i="8"/>
  <c r="V144" i="8"/>
  <c r="V145" i="8"/>
  <c r="V146" i="8"/>
  <c r="V147" i="8"/>
  <c r="V148" i="8"/>
  <c r="V149" i="8"/>
  <c r="V150" i="8"/>
  <c r="V151" i="8"/>
  <c r="V152" i="8"/>
  <c r="V153" i="8"/>
  <c r="V154" i="8"/>
  <c r="V155" i="8"/>
  <c r="V156" i="8"/>
  <c r="V157" i="8"/>
  <c r="V158" i="8"/>
  <c r="V159" i="8"/>
  <c r="V160" i="8"/>
  <c r="V161" i="8"/>
  <c r="V162" i="8"/>
  <c r="V163" i="8"/>
  <c r="V164" i="8"/>
  <c r="V165" i="8"/>
  <c r="V166" i="8"/>
  <c r="V167" i="8"/>
  <c r="V168" i="8"/>
  <c r="V169" i="8"/>
  <c r="V170" i="8"/>
  <c r="V171" i="8"/>
  <c r="V172" i="8"/>
  <c r="V173" i="8"/>
  <c r="V174" i="8"/>
  <c r="V175" i="8"/>
  <c r="V176" i="8"/>
  <c r="V177" i="8"/>
  <c r="V178" i="8"/>
  <c r="V179" i="8"/>
  <c r="V180" i="8"/>
  <c r="V181" i="8"/>
  <c r="V182" i="8"/>
  <c r="V183" i="8"/>
  <c r="V184" i="8"/>
  <c r="V185" i="8"/>
  <c r="V186" i="8"/>
  <c r="V187" i="8"/>
  <c r="V188" i="8"/>
  <c r="V189" i="8"/>
  <c r="V190" i="8"/>
  <c r="V191" i="8"/>
  <c r="V192" i="8"/>
  <c r="V193" i="8"/>
  <c r="V7" i="8"/>
  <c r="V8" i="8"/>
  <c r="V9" i="8"/>
  <c r="V10" i="8"/>
  <c r="V11" i="8"/>
  <c r="V12" i="8"/>
  <c r="V13" i="8"/>
  <c r="V14" i="8"/>
  <c r="V15" i="8"/>
  <c r="V16" i="8"/>
  <c r="V17" i="8"/>
  <c r="V18" i="8"/>
  <c r="V19" i="8"/>
  <c r="V20" i="8"/>
  <c r="V21" i="8"/>
  <c r="V22" i="8"/>
  <c r="V23" i="8"/>
  <c r="V24" i="8"/>
  <c r="V25" i="8"/>
  <c r="V26" i="8"/>
  <c r="V27" i="8"/>
  <c r="V28" i="8"/>
  <c r="V29" i="8"/>
  <c r="V30" i="8"/>
  <c r="V31" i="8"/>
  <c r="V32" i="8"/>
  <c r="V33" i="8"/>
  <c r="V34" i="8"/>
  <c r="V35" i="8"/>
  <c r="V36" i="8"/>
  <c r="V37" i="8"/>
  <c r="V38" i="8"/>
  <c r="V39" i="8"/>
  <c r="V40" i="8"/>
  <c r="V41" i="8"/>
  <c r="V42" i="8"/>
  <c r="V43" i="8"/>
  <c r="V44" i="8"/>
  <c r="V45" i="8"/>
  <c r="V46" i="8"/>
  <c r="V47" i="8"/>
  <c r="V48" i="8"/>
  <c r="V49" i="8"/>
  <c r="V50" i="8"/>
  <c r="V51" i="8"/>
  <c r="V52" i="8"/>
  <c r="V53" i="8"/>
  <c r="V54" i="8"/>
  <c r="V55" i="8"/>
  <c r="V56" i="8"/>
  <c r="V57" i="8"/>
  <c r="V58" i="8"/>
  <c r="V59" i="8"/>
  <c r="V60" i="8"/>
  <c r="V61" i="8"/>
  <c r="V62" i="8"/>
  <c r="V63" i="8"/>
  <c r="V64" i="8"/>
  <c r="V65" i="8"/>
  <c r="V66" i="8"/>
  <c r="V67" i="8"/>
  <c r="V68" i="8"/>
  <c r="V69" i="8"/>
  <c r="V6" i="8"/>
  <c r="V5" i="8"/>
  <c r="AV166" i="8"/>
  <c r="AT81" i="8"/>
  <c r="AW81" i="8" s="1"/>
  <c r="AV141" i="8"/>
  <c r="AV142" i="8"/>
  <c r="AV143" i="8"/>
  <c r="AV31" i="8"/>
  <c r="AV32" i="8"/>
  <c r="AV189" i="8"/>
  <c r="AV190" i="8"/>
  <c r="AV58" i="8"/>
  <c r="AV59" i="8"/>
  <c r="AV128" i="8"/>
  <c r="AV132" i="8"/>
  <c r="AV27" i="8"/>
  <c r="AV28" i="8"/>
  <c r="AV185" i="8"/>
  <c r="AV186" i="8"/>
  <c r="AV54" i="8"/>
  <c r="AV55" i="8"/>
  <c r="AV74" i="8"/>
  <c r="AV75" i="8"/>
  <c r="AV107" i="8"/>
  <c r="AV108" i="8"/>
  <c r="AV111" i="8"/>
  <c r="AV112" i="8"/>
  <c r="AV115" i="8"/>
  <c r="AV116" i="8"/>
  <c r="BY47" i="8"/>
  <c r="BS47" i="8"/>
  <c r="BQ47" i="8"/>
  <c r="AV125" i="8"/>
  <c r="BY48" i="8"/>
  <c r="BS48" i="8"/>
  <c r="BQ48" i="8"/>
  <c r="AV126" i="8"/>
  <c r="AV119" i="8"/>
  <c r="AV120" i="8"/>
  <c r="AU70" i="8" l="1"/>
  <c r="AT70" i="8"/>
  <c r="AI70" i="8"/>
  <c r="BQ35" i="8"/>
  <c r="AV179" i="8"/>
  <c r="BQ36" i="8"/>
  <c r="AV180" i="8"/>
  <c r="BQ37" i="8"/>
  <c r="AV181" i="8"/>
  <c r="BY25" i="8"/>
  <c r="AV137" i="8"/>
  <c r="BY26" i="8"/>
  <c r="AV138" i="8"/>
  <c r="AU71" i="8"/>
  <c r="AT71" i="8"/>
  <c r="AI71" i="8"/>
  <c r="AU67" i="8"/>
  <c r="AU66" i="8"/>
  <c r="AT67" i="8"/>
  <c r="AT66" i="8"/>
  <c r="AI66" i="8"/>
  <c r="AI67" i="8"/>
  <c r="AU63" i="8"/>
  <c r="AU62" i="8"/>
  <c r="AI62" i="8"/>
  <c r="AJ62" i="8"/>
  <c r="AK62" i="8"/>
  <c r="J62" i="8"/>
  <c r="AI63" i="8"/>
  <c r="AJ63" i="8"/>
  <c r="AK63" i="8"/>
  <c r="J63" i="8"/>
  <c r="AV17" i="8"/>
  <c r="AV16" i="8"/>
  <c r="AV15" i="8"/>
  <c r="AV7" i="8"/>
  <c r="AV6" i="8"/>
  <c r="AV5" i="8"/>
  <c r="AW163" i="8"/>
  <c r="AW79" i="8"/>
  <c r="AW80" i="8"/>
  <c r="AW82" i="8"/>
  <c r="AW83" i="8"/>
  <c r="AJ22" i="8"/>
  <c r="AW34" i="8"/>
  <c r="BS128" i="8" s="1"/>
  <c r="BQ128" i="8"/>
  <c r="BY128" i="8"/>
  <c r="AW35" i="8"/>
  <c r="BQ129" i="8"/>
  <c r="BY129" i="8"/>
  <c r="AW36" i="8"/>
  <c r="BQ130" i="8"/>
  <c r="BY130" i="8"/>
  <c r="AW37" i="8"/>
  <c r="BQ131" i="8"/>
  <c r="BY131" i="8"/>
  <c r="AJ152" i="8"/>
  <c r="BY24" i="8"/>
  <c r="AV135" i="8"/>
  <c r="BS131" i="8" l="1"/>
  <c r="BS37" i="8"/>
  <c r="BS130" i="8"/>
  <c r="BS36" i="8"/>
  <c r="BS129" i="8"/>
  <c r="BS35" i="8"/>
  <c r="AV70" i="8"/>
  <c r="AV71" i="8"/>
  <c r="AV66" i="8"/>
  <c r="AV67" i="8"/>
  <c r="AK61" i="8"/>
  <c r="AK64" i="8"/>
  <c r="AK21" i="8"/>
  <c r="AK22" i="8"/>
  <c r="AK23" i="8"/>
  <c r="AK153" i="8"/>
  <c r="AK154" i="8"/>
  <c r="AK155" i="8"/>
  <c r="AK156" i="8"/>
  <c r="AK145" i="8"/>
  <c r="AK146" i="8"/>
  <c r="AK147" i="8"/>
  <c r="AK148" i="8"/>
  <c r="AK149" i="8"/>
  <c r="AK150" i="8"/>
  <c r="AK151" i="8"/>
  <c r="AK152" i="8"/>
  <c r="AV30" i="8"/>
  <c r="AV61" i="8" l="1"/>
  <c r="AV64" i="8"/>
  <c r="AI49" i="8"/>
  <c r="AV69" i="8"/>
  <c r="AI69" i="8"/>
  <c r="AI47" i="8"/>
  <c r="AV65" i="8"/>
  <c r="AI65" i="8"/>
  <c r="AI45" i="8"/>
  <c r="AI61" i="8"/>
  <c r="AJ61" i="8"/>
  <c r="J61" i="8"/>
  <c r="BT159" i="8"/>
  <c r="AW39" i="8"/>
  <c r="AW84" i="8"/>
  <c r="AW85" i="8"/>
  <c r="BY49" i="8"/>
  <c r="BY46" i="8"/>
  <c r="BS49" i="8"/>
  <c r="BS46" i="8"/>
  <c r="BQ49" i="8"/>
  <c r="BQ46" i="8"/>
  <c r="AW161" i="8" l="1"/>
  <c r="AJ102" i="8"/>
  <c r="AW89" i="8"/>
  <c r="AW90" i="8"/>
  <c r="AW91" i="8"/>
  <c r="AW92" i="8"/>
  <c r="BF183" i="8"/>
  <c r="BF171" i="8"/>
  <c r="BF182" i="8"/>
  <c r="BF173" i="8"/>
  <c r="BF21" i="8"/>
  <c r="BF22" i="8"/>
  <c r="BF23" i="8"/>
  <c r="BF41" i="8"/>
  <c r="BF42" i="8"/>
  <c r="AV43" i="8"/>
  <c r="AV41" i="8"/>
  <c r="AV42" i="8"/>
  <c r="AV193" i="8"/>
  <c r="AV12" i="8"/>
  <c r="AV13" i="8"/>
  <c r="AV172" i="8"/>
  <c r="AV44" i="8"/>
  <c r="AV171" i="8"/>
  <c r="AV182" i="8"/>
  <c r="AV173" i="8"/>
  <c r="AV21" i="8"/>
  <c r="AV22" i="8"/>
  <c r="AV23" i="8"/>
  <c r="AV183" i="8"/>
  <c r="AV169" i="8"/>
  <c r="AV168" i="8"/>
  <c r="AV170" i="8"/>
  <c r="AV167" i="8"/>
  <c r="AV33" i="8"/>
  <c r="AV144" i="8"/>
  <c r="AV102" i="8"/>
  <c r="AV98" i="8"/>
  <c r="AV99" i="8"/>
  <c r="AV24" i="8"/>
  <c r="AV118" i="8"/>
  <c r="AV121" i="8"/>
  <c r="AV124" i="8"/>
  <c r="AV127" i="8"/>
  <c r="AV114" i="8"/>
  <c r="AV117" i="8"/>
  <c r="AV110" i="8"/>
  <c r="AV113" i="8"/>
  <c r="AV100" i="8"/>
  <c r="AV101" i="8"/>
  <c r="AV25" i="8"/>
  <c r="AV106" i="8"/>
  <c r="AV109" i="8"/>
  <c r="AV73" i="8"/>
  <c r="AV76" i="8"/>
  <c r="AV53" i="8"/>
  <c r="AV56" i="8"/>
  <c r="AV184" i="8"/>
  <c r="AV187" i="8"/>
  <c r="AV26" i="8"/>
  <c r="AV29" i="8"/>
  <c r="AV139" i="8"/>
  <c r="AV140" i="8"/>
  <c r="AV51" i="8"/>
  <c r="AV52" i="8"/>
  <c r="AV129" i="8"/>
  <c r="AV131" i="8"/>
  <c r="AV130" i="8"/>
  <c r="AV133" i="8"/>
  <c r="AV57" i="8"/>
  <c r="AV60" i="8"/>
  <c r="AV188" i="8"/>
  <c r="AV191" i="8"/>
  <c r="AJ146" i="8"/>
  <c r="AJ147" i="8"/>
  <c r="AJ148" i="8"/>
  <c r="AJ149" i="8"/>
  <c r="AJ150" i="8"/>
  <c r="AJ151" i="8"/>
  <c r="AJ145" i="8"/>
  <c r="AV77" i="8" l="1"/>
  <c r="AV19" i="8"/>
  <c r="AV18" i="8"/>
  <c r="AV38" i="8"/>
  <c r="AV20" i="8"/>
  <c r="AV103" i="8"/>
  <c r="AV78" i="8"/>
  <c r="AV136" i="8"/>
  <c r="BG42" i="8"/>
  <c r="BG41" i="8"/>
  <c r="AW155" i="8" l="1"/>
  <c r="AW154" i="8"/>
  <c r="BQ34" i="8"/>
  <c r="BS34" i="8"/>
  <c r="AV178" i="8"/>
  <c r="AV153" i="8"/>
  <c r="AV156" i="8"/>
  <c r="AV145" i="8"/>
  <c r="AV97" i="8"/>
  <c r="BY173" i="8"/>
  <c r="BQ173" i="8"/>
  <c r="BS173" i="8"/>
  <c r="AW157" i="8"/>
  <c r="BY170" i="8"/>
  <c r="BQ170" i="8"/>
  <c r="BS170" i="8"/>
  <c r="BY171" i="8"/>
  <c r="BS171" i="8"/>
  <c r="BY172" i="8"/>
  <c r="BS172" i="8"/>
  <c r="BY27" i="8"/>
  <c r="AJ21" i="8"/>
  <c r="BG21" i="8" s="1"/>
  <c r="BG22" i="8"/>
  <c r="AJ23" i="8"/>
  <c r="BG23" i="8" s="1"/>
  <c r="AI46" i="8"/>
  <c r="AI68" i="8"/>
  <c r="AI48" i="8"/>
  <c r="AI72" i="8"/>
  <c r="AI50" i="8"/>
  <c r="AI64" i="8"/>
  <c r="AJ64" i="8"/>
  <c r="BG183" i="8"/>
  <c r="BG171" i="8"/>
  <c r="BG182" i="8"/>
  <c r="BG173" i="8"/>
  <c r="AV72" i="8"/>
  <c r="AV68" i="8"/>
  <c r="AW164" i="8" l="1"/>
  <c r="AW165" i="8"/>
  <c r="AT149" i="8"/>
  <c r="BY120" i="8"/>
  <c r="BS120" i="8"/>
  <c r="BQ120" i="8"/>
  <c r="AW94" i="8"/>
  <c r="BS167" i="8" s="1"/>
  <c r="AW95" i="8"/>
  <c r="BS168" i="8" s="1"/>
  <c r="AW96" i="8"/>
  <c r="BS169" i="8" s="1"/>
  <c r="AW93" i="8"/>
  <c r="BS166" i="8" s="1"/>
  <c r="BY166" i="8"/>
  <c r="BQ166" i="8"/>
  <c r="BY167" i="8"/>
  <c r="BQ167" i="8"/>
  <c r="BY168" i="8"/>
  <c r="BQ168" i="8"/>
  <c r="D2" i="28" a="1"/>
  <c r="D2" i="28" s="1"/>
  <c r="D104" i="28" a="1"/>
  <c r="D104" i="28" s="1"/>
  <c r="D62" i="28" a="1"/>
  <c r="D62" i="28" s="1"/>
  <c r="CB31" i="8"/>
  <c r="C104" i="28" a="1"/>
  <c r="C104" i="28" s="1"/>
  <c r="C62" i="28" a="1"/>
  <c r="C62" i="28" s="1"/>
  <c r="AV14" i="8"/>
  <c r="BY174" i="8"/>
  <c r="BY169" i="8"/>
  <c r="BS174" i="8"/>
  <c r="BQ174" i="8"/>
  <c r="BQ169" i="8"/>
  <c r="BY159" i="8"/>
  <c r="BY158" i="8"/>
  <c r="BY157" i="8"/>
  <c r="BY155" i="8"/>
  <c r="BY154" i="8"/>
  <c r="BY153" i="8"/>
  <c r="BY121" i="8"/>
  <c r="BY119" i="8"/>
  <c r="BY118" i="8"/>
  <c r="BY41" i="8"/>
  <c r="BY40" i="8"/>
  <c r="BY39" i="8"/>
  <c r="BW41" i="8"/>
  <c r="BU41" i="8"/>
  <c r="BW40" i="8"/>
  <c r="BU40" i="8"/>
  <c r="BW39" i="8"/>
  <c r="BU39" i="8"/>
  <c r="BQ159" i="8"/>
  <c r="BQ158" i="8"/>
  <c r="BS157" i="8"/>
  <c r="BQ157" i="8"/>
  <c r="BS155" i="8"/>
  <c r="BQ155" i="8"/>
  <c r="BS154" i="8"/>
  <c r="BQ154" i="8"/>
  <c r="BS153" i="8"/>
  <c r="BQ153" i="8"/>
  <c r="BS124" i="8"/>
  <c r="BS123" i="8"/>
  <c r="BS122" i="8"/>
  <c r="BQ124" i="8"/>
  <c r="BQ123" i="8"/>
  <c r="BQ122" i="8"/>
  <c r="BS121" i="8"/>
  <c r="BQ121" i="8"/>
  <c r="BS119" i="8"/>
  <c r="BQ119" i="8"/>
  <c r="BS118" i="8"/>
  <c r="BQ118" i="8"/>
  <c r="BW23" i="8"/>
  <c r="BU23" i="8"/>
  <c r="J64" i="8"/>
  <c r="AT150" i="8" l="1"/>
  <c r="AV149" i="8"/>
  <c r="AW160" i="8"/>
  <c r="AW159" i="8"/>
  <c r="BS159" i="8" s="1"/>
  <c r="AW158" i="8"/>
  <c r="BS158" i="8" s="1"/>
  <c r="AK11" i="21"/>
  <c r="AK10" i="21"/>
  <c r="AK9" i="21"/>
  <c r="AK8" i="21"/>
  <c r="AK7" i="21"/>
  <c r="AK6" i="21"/>
  <c r="AK4" i="21"/>
  <c r="AI5" i="21"/>
  <c r="AK5" i="21" s="1"/>
  <c r="D16" i="32"/>
  <c r="D15" i="32"/>
  <c r="AL6" i="29"/>
  <c r="AL5" i="29"/>
  <c r="AI11" i="29"/>
  <c r="AI12" i="29" s="1"/>
  <c r="AI13" i="29" s="1"/>
  <c r="AI14" i="29" s="1"/>
  <c r="AT151" i="8" l="1"/>
  <c r="AV150" i="8"/>
  <c r="K5" i="34" a="1"/>
  <c r="K5" i="34" s="1"/>
  <c r="K3" i="34" s="1"/>
  <c r="J5" i="34" a="1"/>
  <c r="J5" i="34" s="1"/>
  <c r="J3" i="34" s="1"/>
  <c r="I5" i="34" a="1"/>
  <c r="I5" i="34" s="1"/>
  <c r="I3" i="34" s="1"/>
  <c r="H5" i="34" a="1"/>
  <c r="H5" i="34" s="1"/>
  <c r="H3" i="34" s="1"/>
  <c r="G5" i="34" a="1"/>
  <c r="G5" i="34" s="1"/>
  <c r="G3" i="34" s="1"/>
  <c r="F5" i="34" a="1"/>
  <c r="F5" i="34" s="1"/>
  <c r="F3" i="34" s="1"/>
  <c r="E5" i="34" a="1"/>
  <c r="E5" i="34" s="1"/>
  <c r="E3" i="34" s="1"/>
  <c r="D5" i="34" a="1"/>
  <c r="D5" i="34" s="1"/>
  <c r="D3" i="34" s="1"/>
  <c r="C5" i="34" a="1"/>
  <c r="C5" i="34" s="1"/>
  <c r="C3" i="34" s="1"/>
  <c r="K2" i="34"/>
  <c r="J2" i="34"/>
  <c r="I2" i="34"/>
  <c r="H2" i="34"/>
  <c r="G2" i="34"/>
  <c r="F2" i="34"/>
  <c r="E2" i="34"/>
  <c r="D2" i="34"/>
  <c r="C2" i="34"/>
  <c r="B2" i="34"/>
  <c r="AT152" i="8" l="1"/>
  <c r="AV152" i="8" s="1"/>
  <c r="AV151" i="8"/>
  <c r="B5" i="34" a="1"/>
  <c r="B5" i="34" s="1"/>
  <c r="B3" i="34" s="1"/>
  <c r="AW162" i="8" l="1"/>
  <c r="BQ171" i="8"/>
  <c r="BQ172" i="8"/>
  <c r="AT63" i="8"/>
  <c r="AV63" i="8" s="1"/>
  <c r="AT62" i="8"/>
  <c r="AV6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tc={1F38614A-4004-4617-9898-997C97315D67}</author>
    <author>tc={DC51A34B-B40F-468A-BC55-18440A9B8898}</author>
  </authors>
  <commentList>
    <comment ref="A1" authorId="0" shapeId="0" xr:uid="{1F38614A-4004-4617-9898-997C97315D67}">
      <text>
        <t>[Threaded comment]
Your version of Excel allows you to read this threaded comment; however, any edits to it will get removed if the file is opened in a newer version of Excel. Learn more: https://go.microsoft.com/fwlink/?linkid=870924
Comment:
    The rule of naming the carrier is better to be transparent, e.g. Wood is the main category, and WoodCH and WoodEu is the subclass of the carrier</t>
      </text>
    </comment>
    <comment ref="A15" authorId="1" shapeId="0" xr:uid="{DC51A34B-B40F-468A-BC55-18440A9B8898}">
      <text>
        <t>[Threaded comment]
Your version of Excel allows you to read this threaded comment; however, any edits to it will get removed if the file is opened in a newer version of Excel. Learn more: https://go.microsoft.com/fwlink/?linkid=870924
Comment:
    Need to align the name, ‘Ch4’ or ‘CH4’!?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tc={697F8D57-050E-4E2B-B60A-2A2C4A163627}</author>
  </authors>
  <commentList>
    <comment ref="B59" authorId="0" shapeId="0" xr:uid="{697F8D57-050E-4E2B-B60A-2A2C4A163627}">
      <text>
        <t>[Threaded comment]
Your version of Excel allows you to read this threaded comment; however, any edits to it will get removed if the file is opened in a newer version of Excel. Learn more: https://go.microsoft.com/fwlink/?linkid=870924
Comment:
    Why does the benchmark change with the year? What about PEM electrolysis?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Chen, Yi-Chung Barton</author>
  </authors>
  <commentList>
    <comment ref="A1" authorId="0" shapeId="0" xr:uid="{002717BB-12EF-4936-805C-0A2AEB63A2A3}">
      <text>
        <r>
          <rPr>
            <sz val="10"/>
            <color rgb="FF000000"/>
            <rFont val="Arial"/>
            <family val="2"/>
            <scheme val="minor"/>
          </rPr>
          <t xml:space="preserve">basic rule of "Reference ID":
-&gt; Make sure the ID is unique!!!
1. type of reference (e.g. report, paper, website...)
2. author or publicer (e.g. DEA, BFE...)
3. specification (e.g, report name, title...)
4. Publishing year
</t>
        </r>
      </text>
    </comment>
    <comment ref="C1" authorId="0" shapeId="0" xr:uid="{99160E4B-D377-4AFC-9924-532A0F108B46}">
      <text>
        <r>
          <rPr>
            <b/>
            <sz val="9"/>
            <color indexed="81"/>
            <rFont val="Tahoma"/>
            <family val="2"/>
          </rPr>
          <t>Chen, Yi-Chung Barton:</t>
        </r>
        <r>
          <rPr>
            <sz val="9"/>
            <color indexed="81"/>
            <rFont val="Tahoma"/>
            <family val="2"/>
          </rPr>
          <t xml:space="preserve">
if the reference is in 'BibTex' format, upload a BibTex file under the Teams folder at "EXT reFuel WP3 - Documents\General\Data\TechDB BibTex"
link:
https://empach.sharepoint.com/:f:/r/sites/external-project_reFuelWP3/Freigegebene%20Dokumente/General/Data/TechDB%20BibTex?csf=1&amp;web=1&amp;e=inOqlF</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Chen, Yi-Chung Barton</author>
    <author>Mutschler, Robin</author>
    <author>tc={AD8430AA-ECAB-499E-A7D3-CB00ACA88AB9}</author>
  </authors>
  <commentList>
    <comment ref="E3" authorId="0" shapeId="0" xr:uid="{9741AB9E-A223-4588-8560-B5A2569EAE38}">
      <text>
        <r>
          <rPr>
            <sz val="10"/>
            <color rgb="FF000000"/>
            <rFont val="Arial"/>
            <family val="2"/>
            <scheme val="minor"/>
          </rPr>
          <t>ehubX Tech ID</t>
        </r>
      </text>
    </comment>
    <comment ref="F3" authorId="1" shapeId="0" xr:uid="{4106FCDB-6963-4BD2-82AC-0E5BA85FCDC6}">
      <text>
        <r>
          <rPr>
            <b/>
            <sz val="9"/>
            <color indexed="81"/>
            <rFont val="Tahoma"/>
            <family val="2"/>
          </rPr>
          <t>Chen, Yi-Chung Barton:</t>
        </r>
        <r>
          <rPr>
            <sz val="9"/>
            <color indexed="81"/>
            <rFont val="Tahoma"/>
            <family val="2"/>
          </rPr>
          <t xml:space="preserve">
"IRI" (Internationalized Resource Identifier)</t>
        </r>
      </text>
    </comment>
    <comment ref="I3" authorId="2" shapeId="0" xr:uid="{511287CD-1788-42D6-9F25-73B842F5C9A8}">
      <text>
        <r>
          <rPr>
            <b/>
            <sz val="9"/>
            <color indexed="81"/>
            <rFont val="Tahoma"/>
            <family val="2"/>
          </rPr>
          <t>Mutschler, Robin:</t>
        </r>
        <r>
          <rPr>
            <sz val="9"/>
            <color indexed="81"/>
            <rFont val="Tahoma"/>
            <family val="2"/>
          </rPr>
          <t xml:space="preserve">
Orient closely at the BFE Energiestatistik:
https://www.bfe.admin.ch/bfe/de/home/versorgung/statistik-und-geodaten/energiestatistiken/gesamtenergiestatistik.html</t>
        </r>
      </text>
    </comment>
    <comment ref="N3" authorId="2" shapeId="0" xr:uid="{D912A841-E2AB-4CCC-9A0F-C607E812C8CC}">
      <text>
        <r>
          <rPr>
            <b/>
            <sz val="9"/>
            <color indexed="81"/>
            <rFont val="Tahoma"/>
            <family val="2"/>
          </rPr>
          <t>Mutschler, Robin:</t>
        </r>
        <r>
          <rPr>
            <sz val="9"/>
            <color indexed="81"/>
            <rFont val="Tahoma"/>
            <family val="2"/>
          </rPr>
          <t xml:space="preserve">
The technology will be available from this year on (2020 means -&gt; technology is available in any case)</t>
        </r>
      </text>
    </comment>
    <comment ref="Q3" authorId="2" shapeId="0" xr:uid="{17BFF7D0-F203-41B6-BFE9-9D1A4BCF0333}">
      <text>
        <r>
          <rPr>
            <b/>
            <sz val="9"/>
            <color indexed="81"/>
            <rFont val="Tahoma"/>
            <family val="2"/>
          </rPr>
          <t>Mutschler, Robin:</t>
        </r>
        <r>
          <rPr>
            <sz val="9"/>
            <color indexed="81"/>
            <rFont val="Tahoma"/>
            <family val="2"/>
          </rPr>
          <t xml:space="preserve">
In which year was the technology evaluated</t>
        </r>
      </text>
    </comment>
    <comment ref="R3" authorId="2" shapeId="0" xr:uid="{81444722-1671-4027-8F90-0F77D8FB69D6}">
      <text>
        <r>
          <rPr>
            <b/>
            <sz val="9"/>
            <color indexed="81"/>
            <rFont val="Tahoma"/>
            <family val="2"/>
          </rPr>
          <t>Mutschler, Robin:</t>
        </r>
        <r>
          <rPr>
            <sz val="9"/>
            <color indexed="81"/>
            <rFont val="Tahoma"/>
            <family val="2"/>
          </rPr>
          <t xml:space="preserve">
In corresponding technology year
</t>
        </r>
      </text>
    </comment>
    <comment ref="S3" authorId="2" shapeId="0" xr:uid="{61A46929-7F7E-4D3F-A86B-0953B650A6B4}">
      <text>
        <r>
          <rPr>
            <b/>
            <sz val="9"/>
            <color indexed="81"/>
            <rFont val="Tahoma"/>
            <family val="2"/>
          </rPr>
          <t>Mutschler, Robin:</t>
        </r>
        <r>
          <rPr>
            <sz val="9"/>
            <color indexed="81"/>
            <rFont val="Tahoma"/>
            <family val="2"/>
          </rPr>
          <t xml:space="preserve">
What is included in the process / cost? 
Typically ready to operate plant / tech. </t>
        </r>
      </text>
    </comment>
    <comment ref="W3" authorId="2" shapeId="0" xr:uid="{70FC0093-AD5A-4EB9-9FFF-FFA8F1A6A987}">
      <text>
        <r>
          <rPr>
            <b/>
            <sz val="9"/>
            <color indexed="81"/>
            <rFont val="Tahoma"/>
            <family val="2"/>
          </rPr>
          <t>Mutschler, Robin:</t>
        </r>
        <r>
          <rPr>
            <sz val="9"/>
            <color indexed="81"/>
            <rFont val="Tahoma"/>
            <family val="2"/>
          </rPr>
          <t xml:space="preserve">
Carriers according to the "Carrier" tab</t>
        </r>
      </text>
    </comment>
    <comment ref="X3" authorId="2" shapeId="0" xr:uid="{24AEFC0F-FE41-477E-8C7F-7F7922C08674}">
      <text>
        <r>
          <rPr>
            <b/>
            <sz val="9"/>
            <color indexed="81"/>
            <rFont val="Tahoma"/>
            <family val="2"/>
          </rPr>
          <t>Mutschler, Robin:</t>
        </r>
        <r>
          <rPr>
            <sz val="9"/>
            <color indexed="81"/>
            <rFont val="Tahoma"/>
            <family val="2"/>
          </rPr>
          <t xml:space="preserve">
In case multiple inputs are present, the main input has to be defined. The output efficiency is relative to the main input. </t>
        </r>
      </text>
    </comment>
    <comment ref="AC3" authorId="2" shapeId="0" xr:uid="{A0A610EE-B840-4F2A-959C-17839A5683A3}">
      <text>
        <r>
          <rPr>
            <b/>
            <sz val="9"/>
            <color indexed="81"/>
            <rFont val="Tahoma"/>
            <family val="2"/>
          </rPr>
          <t>Mutschler, Robin:</t>
        </r>
        <r>
          <rPr>
            <sz val="9"/>
            <color indexed="81"/>
            <rFont val="Tahoma"/>
            <family val="2"/>
          </rPr>
          <t xml:space="preserve">
Relative to the main input </t>
        </r>
      </text>
    </comment>
    <comment ref="AE3" authorId="2" shapeId="0" xr:uid="{C022AC99-7E15-4147-AE96-629F69E6AE2E}">
      <text>
        <r>
          <rPr>
            <b/>
            <sz val="9"/>
            <color indexed="81"/>
            <rFont val="Tahoma"/>
            <family val="2"/>
          </rPr>
          <t>Mutschler, Robin:</t>
        </r>
        <r>
          <rPr>
            <sz val="9"/>
            <color indexed="81"/>
            <rFont val="Tahoma"/>
            <family val="2"/>
          </rPr>
          <t xml:space="preserve">
Refers to Main Output Carrier</t>
        </r>
      </text>
    </comment>
    <comment ref="AH3" authorId="1" shapeId="0" xr:uid="{0288E007-E0C3-4658-91CB-FFB6B26965B5}">
      <text>
        <r>
          <rPr>
            <b/>
            <sz val="9"/>
            <color indexed="81"/>
            <rFont val="Tahoma"/>
            <family val="2"/>
          </rPr>
          <t>Chen, Yi-Chung Barton:</t>
        </r>
        <r>
          <rPr>
            <sz val="9"/>
            <color indexed="81"/>
            <rFont val="Tahoma"/>
            <family val="2"/>
          </rPr>
          <t xml:space="preserve">
unit: Currency</t>
        </r>
      </text>
    </comment>
    <comment ref="AI3" authorId="1" shapeId="0" xr:uid="{17BE4E16-094C-4B62-9043-3DBA004AC815}">
      <text>
        <r>
          <rPr>
            <b/>
            <sz val="9"/>
            <color indexed="81"/>
            <rFont val="Tahoma"/>
            <family val="2"/>
          </rPr>
          <t>Chen, Yi-Chung Barton:</t>
        </r>
        <r>
          <rPr>
            <sz val="9"/>
            <color indexed="81"/>
            <rFont val="Tahoma"/>
            <family val="2"/>
          </rPr>
          <t xml:space="preserve">
unit: Currency/kW</t>
        </r>
      </text>
    </comment>
    <comment ref="AJ3" authorId="1" shapeId="0" xr:uid="{8FEBA630-06B6-459B-8B14-AC0E921250B8}">
      <text>
        <r>
          <rPr>
            <b/>
            <sz val="9"/>
            <color indexed="81"/>
            <rFont val="Tahoma"/>
            <family val="2"/>
          </rPr>
          <t>Chen, Yi-Chung Barton:</t>
        </r>
        <r>
          <rPr>
            <sz val="9"/>
            <color indexed="81"/>
            <rFont val="Tahoma"/>
            <family val="2"/>
          </rPr>
          <t xml:space="preserve">
Currenty/year</t>
        </r>
      </text>
    </comment>
    <comment ref="AL3" authorId="1" shapeId="0" xr:uid="{36B440D5-4D7E-44D9-8F84-C88E981542F4}">
      <text>
        <r>
          <rPr>
            <b/>
            <sz val="9"/>
            <color indexed="81"/>
            <rFont val="Tahoma"/>
            <family val="2"/>
          </rPr>
          <t>Chen, Yi-Chung Barton:</t>
        </r>
        <r>
          <rPr>
            <sz val="9"/>
            <color indexed="81"/>
            <rFont val="Tahoma"/>
            <family val="2"/>
          </rPr>
          <t xml:space="preserve">
unit: Currency/kW.year</t>
        </r>
      </text>
    </comment>
    <comment ref="AS3" authorId="1" shapeId="0" xr:uid="{BD838DEA-29D1-4B54-8539-0AE7C54AA3FA}">
      <text>
        <r>
          <rPr>
            <b/>
            <sz val="9"/>
            <color indexed="81"/>
            <rFont val="Tahoma"/>
            <family val="2"/>
          </rPr>
          <t>Chen, Yi-Chung Barton:</t>
        </r>
        <r>
          <rPr>
            <sz val="9"/>
            <color indexed="81"/>
            <rFont val="Tahoma"/>
            <family val="2"/>
          </rPr>
          <t xml:space="preserve">
unit: kgCO2-eq per [LCA unit]</t>
        </r>
      </text>
    </comment>
    <comment ref="AG4" authorId="1" shapeId="0" xr:uid="{7A440F37-716A-4887-A448-37D752102D7E}">
      <text>
        <r>
          <rPr>
            <b/>
            <sz val="9"/>
            <color indexed="81"/>
            <rFont val="Tahoma"/>
            <family val="2"/>
          </rPr>
          <t>Chen, Yi-Chung Barton:</t>
        </r>
        <r>
          <rPr>
            <sz val="9"/>
            <color indexed="81"/>
            <rFont val="Tahoma"/>
            <family val="2"/>
          </rPr>
          <t xml:space="preserve">
33 year in VSE 2025 report, but keep it as 25 year for now</t>
        </r>
      </text>
    </comment>
    <comment ref="AQ8" authorId="3" shapeId="0" xr:uid="{AD8430AA-ECAB-499E-A7D3-CB00ACA88AB9}">
      <text>
        <t>[Threaded comment]
Your version of Excel allows you to read this threaded comment; however, any edits to it will get removed if the file is opened in a newer version of Excel. Learn more: https://go.microsoft.com/fwlink/?linkid=870924
Comment:
    Any value for mono-Si PV? Or bi-facial?</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tc={32751F16-8F54-4A4A-A14D-55F07FA93F88}</author>
    <author>tc={3296B273-78DF-41F6-808D-D3557F185C8F}</author>
    <author>tc={D13D6520-5038-4B6B-B5C9-C90DB6A9B19D}</author>
    <author>Chen, Yi-Chung Barton</author>
    <author>Mutschler, Robin</author>
    <author>tc={2FEA94AF-250D-4B6B-9C46-8B9705FFCBD7}</author>
    <author>tc={6D9A98C0-8255-44F9-A700-FE8F71D4778C}</author>
    <author>tc={38B69CDC-1212-4EBD-BDE5-62C5CC91EE67}</author>
    <author>tc={B2196F23-6465-440F-83A8-9ABC1B6A565D}</author>
    <author>tc={DDF5FBCA-A701-4629-8F91-15F138CA6A0E}</author>
    <author>tc={B351CA99-91CC-4E05-8D72-639E0CBDD4E9}</author>
    <author>tc={347B80AB-4C54-4A4C-961D-60AD0B64A690}</author>
    <author>tc={721B1ADD-C26C-4E8A-9492-DDFCCD8BC079}</author>
    <author>tc={6D3B4462-3D90-4F32-886C-3BDE65B03B16}</author>
    <author>tc={57DE5C25-DACC-4CD9-B0C8-6795E871F0C2}</author>
    <author>tc={2F71DD80-13A8-4C81-A8FB-3971A1F2E0CC}</author>
    <author>tc={7D5FDEAD-A1C9-45BC-9E34-C2EE7BF4C309}</author>
    <author>tc={648D349A-0B79-4F87-A177-A14828BB58FE}</author>
    <author>tc={D32D1A0A-CAA9-4B10-B296-85B26B2CF224}</author>
    <author>tc={730990BA-FE20-45BA-9084-629F66BE0F50}</author>
    <author>tc={D457F27C-4E3F-4FB7-92CB-AC6277854B2C}</author>
    <author>tc={84822E8C-CAC6-4B17-9973-C603F326CEB6}</author>
    <author>tc={09CEAEF1-A6FA-4D38-A864-E378FDD78845}</author>
    <author>tc={81DEA249-0EF9-4CE9-85E1-D32DE76D958B}</author>
    <author>tc={FC1537BE-BDAB-42AD-8BEA-B95DE29CE2BC}</author>
    <author>tc={7F22C78F-509E-4C01-980B-55E388CD3940}</author>
    <author>tc={0891B381-B46D-4D36-B06E-DE6F48995D1E}</author>
    <author>tc={13D69F1B-E2AB-4F83-A34A-2205097FAB47}</author>
    <author>tc={AE352DC5-512C-493D-94A2-7BB91DC7F3FC}</author>
    <author>tc={D24F90AA-8EED-4256-9A9F-605083B34D8D}</author>
    <author>tc={DE6D7C85-D6C4-4BE0-9409-A7466939DBA4}</author>
    <author>tc={DBD5DDFE-C783-4EFE-AEB3-4F5206A6C357}</author>
    <author>tc={E290BA27-991F-4AC5-9620-41706B211A12}</author>
    <author>tc={5B3BB1B9-E698-4C1F-9BB8-B31640F41561}</author>
    <author>tc={7528CAC1-8E32-4FE7-8F3A-64F157278994}</author>
    <author>tc={BAB82FB6-DF22-4472-9CD7-7B3BE3A8C7B9}</author>
    <author>tc={257AB47C-7F5A-4EDD-9C31-2F89FCC29D12}</author>
    <author>tc={C910B2EC-9F45-46FC-80B8-C214E84760D2}</author>
    <author>tc={7A0867F2-3C45-4C38-AD82-4EEB02572043}</author>
    <author>tc={A16CB581-E0A8-42BF-84B3-1A8D44CD7B0A}</author>
    <author>tc={47A73710-8C9E-45AE-8949-C64471754E0C}</author>
    <author>tc={4A1C0605-2CB1-48EB-8298-034A59D0BFB5}</author>
    <author>tc={D5610500-162A-4189-9DEA-55FB8C101B62}</author>
    <author>tc={AB5C310F-9B16-46C6-9206-96072D6ED087}</author>
    <author>tc={0B2F16EC-4AD6-4319-B760-1229ACF0F314}</author>
    <author>tc={301F1F15-6831-4D57-BDE6-8D8AA2794C61}</author>
    <author>tc={7E3D1902-30CF-456D-8E4F-B7969848F823}</author>
    <author>tc={F5F163F0-4EB7-4F6E-ACD3-37EB3CFEC202}</author>
    <author>tc={A9FD2522-1FCD-48AB-BF89-A974B36B85B0}</author>
    <author>tc={CAA41016-2E76-409E-AABE-4134F74180D8}</author>
    <author>tc={EE130D50-97CB-479A-AC20-84A45A82BA6F}</author>
    <author>tc={FEA528E9-4158-4664-ACDB-5522F20D9521}</author>
    <author>tc={2954147D-1BE4-4086-BB5F-5FEA4B12E175}</author>
    <author>tc={9746E0A6-7D0C-462B-B6A0-6DA90C047204}</author>
    <author>tc={0D7E9732-217C-4F1E-A08F-B9F7C93FA75C}</author>
    <author>tc={83F02919-F6B3-4A5A-91BE-3D7FCFA4F3B9}</author>
    <author>tc={28A9ED8D-615E-4B87-AD94-506C795EDCE2}</author>
    <author>tc={D4190C98-9118-4849-B365-694651C622CC}</author>
    <author>tc={F6EFB5EA-A562-4706-966D-79C02147B20A}</author>
    <author>tc={13E210BB-D68F-46EF-8DF0-4F07036BA163}</author>
    <author>tc={49D3497F-E854-49D5-875A-0C9E9068207A}</author>
    <author>tc={B493E994-ABA5-4002-85B8-5D9F4A8B6089}</author>
    <author>tc={6A38BD45-ABFE-4182-B455-55BFCA315F17}</author>
    <author>tc={0886A3BF-4191-4012-AB67-4884B415442C}</author>
    <author>tc={340C1639-D5DF-414C-BF64-E89A5781B48D}</author>
    <author>tc={35C9F0B7-ED6C-44C4-944F-AAE9ECF8A89C}</author>
    <author>tc={597E42E0-F8DE-46DB-B14A-9705B0F44D72}</author>
    <author>tc={8FE0CA0F-332C-4B0D-8DDD-C018E32E8FBD}</author>
    <author>tc={5EF77677-A732-44A8-9BD6-42379F2FC82A}</author>
    <author>tc={D3B82DE3-D7D7-4C3F-81C0-92FEA8EEECFF}</author>
    <author>tc={2B2E17C0-570C-4D2B-BABE-163FA554647B}</author>
    <author>tc={CB89E508-2454-44F7-A7DD-88C8A8F63E91}</author>
    <author>tc={FF6E80F8-5216-453A-856F-6EACED92A204}</author>
    <author>tc={2CCC695D-E06F-4BA8-AA59-24889AFF0842}</author>
    <author>tc={B5AC9A6D-49A5-44E2-825B-2F711FC3ECC9}</author>
    <author>tc={00C2DB72-54D7-43F5-B303-7597B21868D4}</author>
    <author>tc={E4977D20-9F06-49C2-933A-25E127F3FDF1}</author>
    <author>tc={483AAA33-B9E5-4F9E-A948-04D0C571A5A0}</author>
    <author>tc={EF8A188C-D611-4BB9-9603-65513BE17DE1}</author>
    <author>tc={CDD04772-B578-4758-8F22-910F0AA3634C}</author>
    <author>tc={BAF91E88-47F2-43AA-B4B6-A3937B50B01F}</author>
    <author>tc={8193506F-136E-4605-8E87-13411456E790}</author>
    <author>tc={F3B0A71E-4171-41EC-8489-7A4AB5669510}</author>
    <author>tc={09BB6E08-0B43-40E2-9B8E-CBDC95C299B0}</author>
    <author>tc={9CCA2D43-18FE-4518-9EDC-3B5B92E708DA}</author>
  </authors>
  <commentList>
    <comment ref="P2" authorId="0" shapeId="0" xr:uid="{32751F16-8F54-4A4A-A14D-55F07FA93F88}">
      <text>
        <t>[Threaded comment]
Your version of Excel allows you to read this threaded comment; however, any edits to it will get removed if the file is opened in a newer version of Excel. Learn more: https://go.microsoft.com/fwlink/?linkid=870924
Comment:
    1. should this be 't/y' (tonne/year)? 2. to make it clear, should we add a column for this?</t>
      </text>
    </comment>
    <comment ref="AU2" authorId="1" shapeId="0" xr:uid="{3296B273-78DF-41F6-808D-D3557F185C8F}">
      <text>
        <t>[Threaded comment]
Your version of Excel allows you to read this threaded comment; however, any edits to it will get removed if the file is opened in a newer version of Excel. Learn more: https://go.microsoft.com/fwlink/?linkid=870924
Comment:
    is this per year?</t>
      </text>
    </comment>
    <comment ref="AX2" authorId="2" shapeId="0" xr:uid="{D13D6520-5038-4B6B-B5C9-C90DB6A9B19D}">
      <text>
        <t xml:space="preserve">[Threaded comment]
Your version of Excel allows you to read this threaded comment; however, any edits to it will get removed if the file is opened in a newer version of Excel. Learn more: https://go.microsoft.com/fwlink/?linkid=870924
Comment:
    Some values look like they are in kCHF/kWh and not CHF/kWh. Please double check units for all values in this column
</t>
      </text>
    </comment>
    <comment ref="H3" authorId="3" shapeId="0" xr:uid="{E5703F5D-845B-4DB9-9ED3-BD719B6EAB0A}">
      <text>
        <r>
          <rPr>
            <b/>
            <sz val="9"/>
            <color indexed="81"/>
            <rFont val="Tahoma"/>
            <family val="2"/>
          </rPr>
          <t>Chen, Yi-Chung Barton:</t>
        </r>
        <r>
          <rPr>
            <sz val="9"/>
            <color indexed="81"/>
            <rFont val="Tahoma"/>
            <family val="2"/>
          </rPr>
          <t xml:space="preserve">
"IRI" (Internationalized Resource Identifier)</t>
        </r>
      </text>
    </comment>
    <comment ref="L3" authorId="4" shapeId="0" xr:uid="{BC63D65A-1EC3-4DB8-BAEB-58B59C481F42}">
      <text>
        <r>
          <rPr>
            <b/>
            <sz val="9"/>
            <color indexed="81"/>
            <rFont val="Tahoma"/>
            <family val="2"/>
          </rPr>
          <t>Mutschler, Robin:</t>
        </r>
        <r>
          <rPr>
            <sz val="9"/>
            <color indexed="81"/>
            <rFont val="Tahoma"/>
            <family val="2"/>
          </rPr>
          <t xml:space="preserve">
Orient closely at the BFE Energiestatistik</t>
        </r>
      </text>
    </comment>
    <comment ref="N3" authorId="3" shapeId="0" xr:uid="{B3B301C8-B0E2-46CC-AA37-70C7182807B9}">
      <text>
        <r>
          <rPr>
            <b/>
            <sz val="9"/>
            <color indexed="81"/>
            <rFont val="Tahoma"/>
            <family val="2"/>
          </rPr>
          <t>Chen, Yi-Chung Barton:</t>
        </r>
        <r>
          <rPr>
            <sz val="9"/>
            <color indexed="81"/>
            <rFont val="Tahoma"/>
            <family val="2"/>
          </rPr>
          <t xml:space="preserve">
provide details information about the technology</t>
        </r>
      </text>
    </comment>
    <comment ref="Q3" authorId="4" shapeId="0" xr:uid="{2755EBE9-268D-4CC1-A80A-15F270CDCAF9}">
      <text>
        <r>
          <rPr>
            <b/>
            <sz val="9"/>
            <color indexed="81"/>
            <rFont val="Tahoma"/>
            <family val="2"/>
          </rPr>
          <t>Mutschler, Robin:</t>
        </r>
        <r>
          <rPr>
            <sz val="9"/>
            <color indexed="81"/>
            <rFont val="Tahoma"/>
            <family val="2"/>
          </rPr>
          <t xml:space="preserve">
The technology will be available from this year on (2020 means -&gt; technology is available in any case)</t>
        </r>
      </text>
    </comment>
    <comment ref="R3" authorId="5" shapeId="0" xr:uid="{2FEA94AF-250D-4B6B-9C46-8B9705FFCBD7}">
      <text>
        <t>[Threaded comment]
Your version of Excel allows you to read this threaded comment; however, any edits to it will get removed if the file is opened in a newer version of Excel. Learn more: https://go.microsoft.com/fwlink/?linkid=870924
Comment:
    Is this location only related to cost or could be for other parameter?</t>
      </text>
    </comment>
    <comment ref="T3" authorId="4" shapeId="0" xr:uid="{9B306CFB-AF0C-4AC7-A031-A52816895E45}">
      <text>
        <r>
          <rPr>
            <b/>
            <sz val="9"/>
            <color indexed="81"/>
            <rFont val="Tahoma"/>
            <family val="2"/>
          </rPr>
          <t>Mutschler, Robin:</t>
        </r>
        <r>
          <rPr>
            <sz val="9"/>
            <color indexed="81"/>
            <rFont val="Tahoma"/>
            <family val="2"/>
          </rPr>
          <t xml:space="preserve">
In which year was the technology evaluated</t>
        </r>
      </text>
    </comment>
    <comment ref="V3" authorId="4" shapeId="0" xr:uid="{9789D484-8C33-4C3F-A34C-A0D85F79FA89}">
      <text>
        <r>
          <rPr>
            <b/>
            <sz val="9"/>
            <color indexed="81"/>
            <rFont val="Tahoma"/>
            <family val="2"/>
          </rPr>
          <t>Mutschler, Robin:</t>
        </r>
        <r>
          <rPr>
            <sz val="9"/>
            <color indexed="81"/>
            <rFont val="Tahoma"/>
            <family val="2"/>
          </rPr>
          <t xml:space="preserve">
In corresponding technology year
</t>
        </r>
      </text>
    </comment>
    <comment ref="W3" authorId="4" shapeId="0" xr:uid="{5AB2ABF2-3222-4C4B-8F73-6685A862E5E0}">
      <text>
        <r>
          <rPr>
            <b/>
            <sz val="9"/>
            <color indexed="81"/>
            <rFont val="Tahoma"/>
            <family val="2"/>
          </rPr>
          <t>Mutschler, Robin:</t>
        </r>
        <r>
          <rPr>
            <sz val="9"/>
            <color indexed="81"/>
            <rFont val="Tahoma"/>
            <family val="2"/>
          </rPr>
          <t xml:space="preserve">
What is included in the process / cost? 
Typically ready to operate plant / tech. </t>
        </r>
      </text>
    </comment>
    <comment ref="X3" authorId="4" shapeId="0" xr:uid="{D01FDFCC-7B6A-4CAB-8162-6A80EB4E5911}">
      <text>
        <r>
          <rPr>
            <b/>
            <sz val="9"/>
            <color indexed="81"/>
            <rFont val="Tahoma"/>
            <family val="2"/>
          </rPr>
          <t>Mutschler, Robin:</t>
        </r>
        <r>
          <rPr>
            <sz val="9"/>
            <color indexed="81"/>
            <rFont val="Tahoma"/>
            <family val="2"/>
          </rPr>
          <t xml:space="preserve">
https://docs.google.com/presentation/d/1Js4_w0kzhL3zGCj_5YsGCvKfnxXCUHVAVOwmXP_sHO0/edit?usp=sharing</t>
        </r>
      </text>
    </comment>
    <comment ref="AA3" authorId="4" shapeId="0" xr:uid="{677DF2FA-1052-45DC-9102-9FA65D50B721}">
      <text>
        <r>
          <rPr>
            <b/>
            <sz val="9"/>
            <color indexed="81"/>
            <rFont val="Tahoma"/>
            <family val="2"/>
          </rPr>
          <t>Mutschler, Robin:</t>
        </r>
        <r>
          <rPr>
            <sz val="9"/>
            <color indexed="81"/>
            <rFont val="Tahoma"/>
            <family val="2"/>
          </rPr>
          <t xml:space="preserve">
Carriers according to the "Carrier" tab</t>
        </r>
      </text>
    </comment>
    <comment ref="AB3" authorId="4" shapeId="0" xr:uid="{17AE4AD0-E11B-4E44-91B1-53C316AA5E04}">
      <text>
        <r>
          <rPr>
            <b/>
            <sz val="9"/>
            <color indexed="81"/>
            <rFont val="Tahoma"/>
            <family val="2"/>
          </rPr>
          <t>Mutschler, Robin:</t>
        </r>
        <r>
          <rPr>
            <sz val="9"/>
            <color indexed="81"/>
            <rFont val="Tahoma"/>
            <family val="2"/>
          </rPr>
          <t xml:space="preserve">
In case multiple inputs are present, the main input has to be defined. The output efficiency is relative to the main input. 
Eleonora: Check the comment in cells AI71-AI72trl</t>
        </r>
      </text>
    </comment>
    <comment ref="AG3" authorId="6" shapeId="0" xr:uid="{6D9A98C0-8255-44F9-A700-FE8F71D4778C}">
      <text>
        <t>[Threaded comment]
Your version of Excel allows you to read this threaded comment; however, any edits to it will get removed if the file is opened in a newer version of Excel. Learn more: https://go.microsoft.com/fwlink/?linkid=870924
Comment:
    Change to ‘output’ to align with ‘input’? Both input/output have or not have ‘carrier’</t>
      </text>
    </comment>
    <comment ref="AH3" authorId="7" shapeId="0" xr:uid="{38B69CDC-1212-4EBD-BDE5-62C5CC91EE67}">
      <text>
        <t>[Threaded comment]
Your version of Excel allows you to read this threaded comment; however, any edits to it will get removed if the file is opened in a newer version of Excel. Learn more: https://go.microsoft.com/fwlink/?linkid=870924
Comment:
    Change to ‘output’ to align with ‘input’? Both input/output have or not have ‘carrier’</t>
      </text>
    </comment>
    <comment ref="AI3" authorId="4" shapeId="0" xr:uid="{E2B7B3DF-23B4-4C31-A1D9-D1DB424DFAF1}">
      <text>
        <r>
          <rPr>
            <b/>
            <sz val="9"/>
            <color indexed="81"/>
            <rFont val="Tahoma"/>
            <family val="2"/>
          </rPr>
          <t>Mutschler, Robin:</t>
        </r>
        <r>
          <rPr>
            <sz val="9"/>
            <color indexed="81"/>
            <rFont val="Tahoma"/>
            <family val="2"/>
          </rPr>
          <t xml:space="preserve">
Relevant to dimension the plant / tech. </t>
        </r>
      </text>
    </comment>
    <comment ref="AJ3" authorId="4" shapeId="0" xr:uid="{1194463A-FE65-4CAA-96DD-2C33365F173D}">
      <text>
        <r>
          <rPr>
            <b/>
            <sz val="9"/>
            <color indexed="81"/>
            <rFont val="Tahoma"/>
            <family val="2"/>
          </rPr>
          <t>Mutschler, Robin:</t>
        </r>
        <r>
          <rPr>
            <sz val="9"/>
            <color indexed="81"/>
            <rFont val="Tahoma"/>
            <family val="2"/>
          </rPr>
          <t xml:space="preserve">
Relative to the main input </t>
        </r>
      </text>
    </comment>
    <comment ref="AK3" authorId="4" shapeId="0" xr:uid="{F50DE1DA-9EBE-4345-9388-E943924F4C33}">
      <text>
        <r>
          <rPr>
            <b/>
            <sz val="9"/>
            <color indexed="81"/>
            <rFont val="Tahoma"/>
            <family val="2"/>
          </rPr>
          <t>Mutschler, Robin:</t>
        </r>
        <r>
          <rPr>
            <sz val="9"/>
            <color indexed="81"/>
            <rFont val="Tahoma"/>
            <family val="2"/>
          </rPr>
          <t xml:space="preserve">
Relative to the main input </t>
        </r>
      </text>
    </comment>
    <comment ref="AM3" authorId="4" shapeId="0" xr:uid="{64ACA7EE-8F0D-4AE7-A4F2-44A3ED7306FA}">
      <text>
        <r>
          <rPr>
            <b/>
            <sz val="9"/>
            <color indexed="81"/>
            <rFont val="Tahoma"/>
            <family val="2"/>
          </rPr>
          <t>Mutschler, Robin:</t>
        </r>
        <r>
          <rPr>
            <sz val="9"/>
            <color indexed="81"/>
            <rFont val="Tahoma"/>
            <family val="2"/>
          </rPr>
          <t xml:space="preserve">
Relative to the main input </t>
        </r>
      </text>
    </comment>
    <comment ref="AP3" authorId="4" shapeId="0" xr:uid="{4FF19ACA-2BD4-49F4-A1DE-472345D61102}">
      <text>
        <r>
          <rPr>
            <b/>
            <sz val="9"/>
            <color indexed="81"/>
            <rFont val="Tahoma"/>
            <family val="2"/>
          </rPr>
          <t>Mutschler, Robin:</t>
        </r>
        <r>
          <rPr>
            <sz val="9"/>
            <color indexed="81"/>
            <rFont val="Tahoma"/>
            <family val="2"/>
          </rPr>
          <t xml:space="preserve">
Refers to Main Output Carrier</t>
        </r>
      </text>
    </comment>
    <comment ref="AQ3" authorId="4" shapeId="0" xr:uid="{7073753B-A099-439F-BED0-9ABE8F4E46AA}">
      <text>
        <r>
          <rPr>
            <b/>
            <sz val="9"/>
            <color indexed="81"/>
            <rFont val="Tahoma"/>
            <family val="2"/>
          </rPr>
          <t>Mutschler, Robin:</t>
        </r>
        <r>
          <rPr>
            <sz val="9"/>
            <color indexed="81"/>
            <rFont val="Tahoma"/>
            <family val="2"/>
          </rPr>
          <t xml:space="preserve">
Refers to Main Output Carrier</t>
        </r>
      </text>
    </comment>
    <comment ref="BD3" authorId="3" shapeId="0" xr:uid="{B7157AA0-942F-4664-9931-3AFF422EFABA}">
      <text>
        <r>
          <rPr>
            <b/>
            <sz val="9"/>
            <color indexed="81"/>
            <rFont val="Tahoma"/>
            <family val="2"/>
          </rPr>
          <t>Chen, Yi-Chung Barton:</t>
        </r>
        <r>
          <rPr>
            <sz val="9"/>
            <color indexed="81"/>
            <rFont val="Tahoma"/>
            <family val="2"/>
          </rPr>
          <t xml:space="preserve">
unit: kgCO2-eq per [LCA unit]</t>
        </r>
      </text>
    </comment>
    <comment ref="H4" authorId="3" shapeId="0" xr:uid="{BC003EA0-D831-4E90-93E8-CA520107D4BB}">
      <text>
        <r>
          <rPr>
            <b/>
            <sz val="9"/>
            <color indexed="81"/>
            <rFont val="Tahoma"/>
            <family val="2"/>
          </rPr>
          <t>Chen, Yi-Chung Barton:</t>
        </r>
        <r>
          <rPr>
            <sz val="9"/>
            <color indexed="81"/>
            <rFont val="Tahoma"/>
            <family val="2"/>
          </rPr>
          <t xml:space="preserve">
"IRI" (Internationalized Resource Identifier)</t>
        </r>
      </text>
    </comment>
    <comment ref="L4" authorId="4" shapeId="0" xr:uid="{CB26813E-9BB8-4E2C-AC4D-7E0144C90E50}">
      <text>
        <r>
          <rPr>
            <b/>
            <sz val="9"/>
            <color indexed="81"/>
            <rFont val="Tahoma"/>
            <family val="2"/>
          </rPr>
          <t>Mutschler, Robin:</t>
        </r>
        <r>
          <rPr>
            <sz val="9"/>
            <color indexed="81"/>
            <rFont val="Tahoma"/>
            <family val="2"/>
          </rPr>
          <t xml:space="preserve">
Orient closely at the BFE Energiestatistik</t>
        </r>
      </text>
    </comment>
    <comment ref="N4" authorId="3" shapeId="0" xr:uid="{73852DC4-F2F7-4DFF-B254-C245143188AA}">
      <text>
        <r>
          <rPr>
            <b/>
            <sz val="9"/>
            <color indexed="81"/>
            <rFont val="Tahoma"/>
            <family val="2"/>
          </rPr>
          <t>Chen, Yi-Chung Barton:</t>
        </r>
        <r>
          <rPr>
            <sz val="9"/>
            <color indexed="81"/>
            <rFont val="Tahoma"/>
            <family val="2"/>
          </rPr>
          <t xml:space="preserve">
provide details information about the technology</t>
        </r>
      </text>
    </comment>
    <comment ref="Q4" authorId="4" shapeId="0" xr:uid="{5D6E2CAE-F180-47E0-BF5A-AA66A511AE10}">
      <text>
        <r>
          <rPr>
            <b/>
            <sz val="9"/>
            <color indexed="81"/>
            <rFont val="Tahoma"/>
            <family val="2"/>
          </rPr>
          <t>Mutschler, Robin:</t>
        </r>
        <r>
          <rPr>
            <sz val="9"/>
            <color indexed="81"/>
            <rFont val="Tahoma"/>
            <family val="2"/>
          </rPr>
          <t xml:space="preserve">
The technology will be available from this year on (2020 means -&gt; technology is available in any case)</t>
        </r>
      </text>
    </comment>
    <comment ref="R4" authorId="8" shapeId="0" xr:uid="{B2196F23-6465-440F-83A8-9ABC1B6A565D}">
      <text>
        <t>[Threaded comment]
Your version of Excel allows you to read this threaded comment; however, any edits to it will get removed if the file is opened in a newer version of Excel. Learn more: https://go.microsoft.com/fwlink/?linkid=870924
Comment:
    Is this location only related to cost or could be for other parameter?</t>
      </text>
    </comment>
    <comment ref="T4" authorId="4" shapeId="0" xr:uid="{41A1E98F-D100-4E2F-BB56-2BF4D8386AE2}">
      <text>
        <r>
          <rPr>
            <b/>
            <sz val="9"/>
            <color indexed="81"/>
            <rFont val="Tahoma"/>
            <family val="2"/>
          </rPr>
          <t>Mutschler, Robin:</t>
        </r>
        <r>
          <rPr>
            <sz val="9"/>
            <color indexed="81"/>
            <rFont val="Tahoma"/>
            <family val="2"/>
          </rPr>
          <t xml:space="preserve">
In which year was the technology evaluated</t>
        </r>
      </text>
    </comment>
    <comment ref="V4" authorId="4" shapeId="0" xr:uid="{527F27F1-37A0-42C9-BE9F-65070B68CCAF}">
      <text>
        <r>
          <rPr>
            <b/>
            <sz val="9"/>
            <color indexed="81"/>
            <rFont val="Tahoma"/>
            <family val="2"/>
          </rPr>
          <t>Mutschler, Robin:</t>
        </r>
        <r>
          <rPr>
            <sz val="9"/>
            <color indexed="81"/>
            <rFont val="Tahoma"/>
            <family val="2"/>
          </rPr>
          <t xml:space="preserve">
In corresponding technology year
</t>
        </r>
      </text>
    </comment>
    <comment ref="W4" authorId="4" shapeId="0" xr:uid="{83AE23F8-FDC8-4E90-A431-1E51E070B88D}">
      <text>
        <r>
          <rPr>
            <b/>
            <sz val="9"/>
            <color indexed="81"/>
            <rFont val="Tahoma"/>
            <family val="2"/>
          </rPr>
          <t>Mutschler, Robin:</t>
        </r>
        <r>
          <rPr>
            <sz val="9"/>
            <color indexed="81"/>
            <rFont val="Tahoma"/>
            <family val="2"/>
          </rPr>
          <t xml:space="preserve">
What is included in the process / cost? 
Typically ready to operate plant / tech. </t>
        </r>
      </text>
    </comment>
    <comment ref="X4" authorId="4" shapeId="0" xr:uid="{2F4F03F3-C785-4B89-AD03-62DD0499EE83}">
      <text>
        <r>
          <rPr>
            <b/>
            <sz val="9"/>
            <color indexed="81"/>
            <rFont val="Tahoma"/>
            <family val="2"/>
          </rPr>
          <t>Mutschler, Robin:</t>
        </r>
        <r>
          <rPr>
            <sz val="9"/>
            <color indexed="81"/>
            <rFont val="Tahoma"/>
            <family val="2"/>
          </rPr>
          <t xml:space="preserve">
https://docs.google.com/presentation/d/1Js4_w0kzhL3zGCj_5YsGCvKfnxXCUHVAVOwmXP_sHO0/edit?usp=sharing</t>
        </r>
      </text>
    </comment>
    <comment ref="AA4" authorId="4" shapeId="0" xr:uid="{9AC271AA-85CC-40C2-9B08-14BCC29973DB}">
      <text>
        <r>
          <rPr>
            <b/>
            <sz val="9"/>
            <color indexed="81"/>
            <rFont val="Tahoma"/>
            <family val="2"/>
          </rPr>
          <t>Mutschler, Robin:</t>
        </r>
        <r>
          <rPr>
            <sz val="9"/>
            <color indexed="81"/>
            <rFont val="Tahoma"/>
            <family val="2"/>
          </rPr>
          <t xml:space="preserve">
Carriers according to the "Carrier" tab</t>
        </r>
      </text>
    </comment>
    <comment ref="AB4" authorId="3" shapeId="0" xr:uid="{D3A49D96-FFC0-448A-BBD9-E2D98A95F972}">
      <text>
        <r>
          <rPr>
            <b/>
            <sz val="9"/>
            <color indexed="81"/>
            <rFont val="Tahoma"/>
            <charset val="1"/>
          </rPr>
          <t>Chen, Yi-Chung Barton:</t>
        </r>
        <r>
          <rPr>
            <sz val="9"/>
            <color indexed="81"/>
            <rFont val="Tahoma"/>
            <charset val="1"/>
          </rPr>
          <t xml:space="preserve">
In case multiple inputs are present, the main input has to be defined. The output efficiency is relative to the main input.
</t>
        </r>
      </text>
    </comment>
    <comment ref="AG4" authorId="9" shapeId="0" xr:uid="{DDF5FBCA-A701-4629-8F91-15F138CA6A0E}">
      <text>
        <t>[Threaded comment]
Your version of Excel allows you to read this threaded comment; however, any edits to it will get removed if the file is opened in a newer version of Excel. Learn more: https://go.microsoft.com/fwlink/?linkid=870924
Comment:
    Change to ‘output’ to align with ‘input’? Both input/output have or not have ‘carrier’</t>
      </text>
    </comment>
    <comment ref="AH4" authorId="10" shapeId="0" xr:uid="{B351CA99-91CC-4E05-8D72-639E0CBDD4E9}">
      <text>
        <t>[Threaded comment]
Your version of Excel allows you to read this threaded comment; however, any edits to it will get removed if the file is opened in a newer version of Excel. Learn more: https://go.microsoft.com/fwlink/?linkid=870924
Comment:
    Change to ‘output’ to align with ‘input’? Both input/output have or not have ‘carrier’</t>
      </text>
    </comment>
    <comment ref="AI4" authorId="4" shapeId="0" xr:uid="{97B17763-EF5F-42BD-8CDB-F8B9EC21AFA5}">
      <text>
        <r>
          <rPr>
            <b/>
            <sz val="9"/>
            <color indexed="81"/>
            <rFont val="Tahoma"/>
            <family val="2"/>
          </rPr>
          <t>Mutschler, Robin:</t>
        </r>
        <r>
          <rPr>
            <sz val="9"/>
            <color indexed="81"/>
            <rFont val="Tahoma"/>
            <family val="2"/>
          </rPr>
          <t xml:space="preserve">
Relevant to dimension the plant / tech. </t>
        </r>
      </text>
    </comment>
    <comment ref="AJ4" authorId="4" shapeId="0" xr:uid="{5107C5CA-6C6B-4FB8-994D-7CC7FED36157}">
      <text>
        <r>
          <rPr>
            <b/>
            <sz val="9"/>
            <color indexed="81"/>
            <rFont val="Tahoma"/>
            <family val="2"/>
          </rPr>
          <t>Mutschler, Robin:</t>
        </r>
        <r>
          <rPr>
            <sz val="9"/>
            <color indexed="81"/>
            <rFont val="Tahoma"/>
            <family val="2"/>
          </rPr>
          <t xml:space="preserve">
Relative to the main input </t>
        </r>
      </text>
    </comment>
    <comment ref="AK4" authorId="4" shapeId="0" xr:uid="{4AE0C7E3-9B51-4CF2-81C4-E046D399E9CB}">
      <text>
        <r>
          <rPr>
            <b/>
            <sz val="9"/>
            <color indexed="81"/>
            <rFont val="Tahoma"/>
            <family val="2"/>
          </rPr>
          <t>Mutschler, Robin:</t>
        </r>
        <r>
          <rPr>
            <sz val="9"/>
            <color indexed="81"/>
            <rFont val="Tahoma"/>
            <family val="2"/>
          </rPr>
          <t xml:space="preserve">
Relative to the main input </t>
        </r>
      </text>
    </comment>
    <comment ref="AM4" authorId="4" shapeId="0" xr:uid="{78AC281B-CED4-4DA2-84AB-5B77D1147918}">
      <text>
        <r>
          <rPr>
            <b/>
            <sz val="9"/>
            <color indexed="81"/>
            <rFont val="Tahoma"/>
            <family val="2"/>
          </rPr>
          <t>Mutschler, Robin:</t>
        </r>
        <r>
          <rPr>
            <sz val="9"/>
            <color indexed="81"/>
            <rFont val="Tahoma"/>
            <family val="2"/>
          </rPr>
          <t xml:space="preserve">
Relative to the main input </t>
        </r>
      </text>
    </comment>
    <comment ref="AP4" authorId="4" shapeId="0" xr:uid="{89F15D83-4D09-47A0-A512-90950F699E47}">
      <text>
        <r>
          <rPr>
            <b/>
            <sz val="9"/>
            <color indexed="81"/>
            <rFont val="Tahoma"/>
            <family val="2"/>
          </rPr>
          <t>Mutschler, Robin:</t>
        </r>
        <r>
          <rPr>
            <sz val="9"/>
            <color indexed="81"/>
            <rFont val="Tahoma"/>
            <family val="2"/>
          </rPr>
          <t xml:space="preserve">
Refers to Main Output Carrier</t>
        </r>
      </text>
    </comment>
    <comment ref="AQ4" authorId="4" shapeId="0" xr:uid="{D0E832E0-AF98-4FA2-B2A1-A57EAD3F1768}">
      <text>
        <r>
          <rPr>
            <b/>
            <sz val="9"/>
            <color indexed="81"/>
            <rFont val="Tahoma"/>
            <family val="2"/>
          </rPr>
          <t>Mutschler, Robin:</t>
        </r>
        <r>
          <rPr>
            <sz val="9"/>
            <color indexed="81"/>
            <rFont val="Tahoma"/>
            <family val="2"/>
          </rPr>
          <t xml:space="preserve">
Refers to Main Output Carrier</t>
        </r>
      </text>
    </comment>
    <comment ref="AT4" authorId="11" shapeId="0" xr:uid="{347B80AB-4C54-4A4C-961D-60AD0B64A690}">
      <text>
        <t>[Threaded comment]
Your version of Excel allows you to read this threaded comment; however, any edits to it will get removed if the file is opened in a newer version of Excel. Learn more: https://go.microsoft.com/fwlink/?linkid=870924
Comment:
    Should not have units in the column header</t>
      </text>
    </comment>
    <comment ref="AU4" authorId="12" shapeId="0" xr:uid="{721B1ADD-C26C-4E8A-9492-DDFCCD8BC079}">
      <text>
        <t>[Threaded comment]
Your version of Excel allows you to read this threaded comment; however, any edits to it will get removed if the file is opened in a newer version of Excel. Learn more: https://go.microsoft.com/fwlink/?linkid=870924
Comment:
    Should not have unit/currency in the column header</t>
      </text>
    </comment>
    <comment ref="AW4" authorId="13" shapeId="0" xr:uid="{6D3B4462-3D90-4F32-886C-3BDE65B03B16}">
      <text>
        <t>[Threaded comment]
Your version of Excel allows you to read this threaded comment; however, any edits to it will get removed if the file is opened in a newer version of Excel. Learn more: https://go.microsoft.com/fwlink/?linkid=870924
Comment:
    Should not have unit in the column header</t>
      </text>
    </comment>
    <comment ref="AX4" authorId="14" shapeId="0" xr:uid="{57DE5C25-DACC-4CD9-B0C8-6795E871F0C2}">
      <text>
        <t>[Threaded comment]
Your version of Excel allows you to read this threaded comment; however, any edits to it will get removed if the file is opened in a newer version of Excel. Learn more: https://go.microsoft.com/fwlink/?linkid=870924
Comment:
    Should not have currency in the column header</t>
      </text>
    </comment>
    <comment ref="BD4" authorId="3" shapeId="0" xr:uid="{D76F4A16-C33B-4759-A3E3-F7BA06A5AF4C}">
      <text>
        <r>
          <rPr>
            <b/>
            <sz val="9"/>
            <color indexed="81"/>
            <rFont val="Tahoma"/>
            <family val="2"/>
          </rPr>
          <t>Chen, Yi-Chung Barton:</t>
        </r>
        <r>
          <rPr>
            <sz val="9"/>
            <color indexed="81"/>
            <rFont val="Tahoma"/>
            <family val="2"/>
          </rPr>
          <t xml:space="preserve">
unit: kgCO2-eq per [LCA unit]</t>
        </r>
      </text>
    </comment>
    <comment ref="F5" authorId="15" shapeId="0" xr:uid="{2F71DD80-13A8-4C81-A8FB-3971A1F2E0CC}">
      <text>
        <t>[Threaded comment]
Your version of Excel allows you to read this threaded comment; however, any edits to it will get removed if the file is opened in a newer version of Excel. Learn more: https://go.microsoft.com/fwlink/?linkid=870924
Comment:
    We assume the same tech for WtE, Cement and Wood CHPs</t>
      </text>
    </comment>
    <comment ref="AE5" authorId="16" shapeId="0" xr:uid="{7D5FDEAD-A1C9-45BC-9E34-C2EE7BF4C309}">
      <text>
        <t>[Threaded comment]
Your version of Excel allows you to read this threaded comment; however, any edits to it will get removed if the file is opened in a newer version of Excel. Learn more: https://go.microsoft.com/fwlink/?linkid=870924
Comment:
    Based on UK AECOM 2022 report
Including liquefaction energy in electricity share assuming truck, train transport. If pipelines, this can be removed</t>
      </text>
    </comment>
    <comment ref="AT5" authorId="17" shapeId="0" xr:uid="{648D349A-0B79-4F87-A177-A14828BB58FE}">
      <text>
        <t>[Threaded comment]
Your version of Excel allows you to read this threaded comment; however, any edits to it will get removed if the file is opened in a newer version of Excel. Learn more: https://go.microsoft.com/fwlink/?linkid=870924
Comment:
    Do we need the unit here?</t>
      </text>
    </comment>
    <comment ref="BA5" authorId="18" shapeId="0" xr:uid="{D32D1A0A-CAA9-4B10-B296-85B26B2CF224}">
      <text>
        <t xml:space="preserve">[Threaded comment]
Your version of Excel allows you to read this threaded comment; however, any edits to it will get removed if the file is opened in a newer version of Excel. Learn more: https://go.microsoft.com/fwlink/?linkid=870924
Comment:
    Page 30, AECOM report Next generation carbon capture technology: technoeconomic analysis work package 6
</t>
      </text>
    </comment>
    <comment ref="P11" authorId="19" shapeId="0" xr:uid="{730990BA-FE20-45BA-9084-629F66BE0F50}">
      <text>
        <t>[Threaded comment]
Your version of Excel allows you to read this threaded comment; however, any edits to it will get removed if the file is opened in a newer version of Excel. Learn more: https://go.microsoft.com/fwlink/?linkid=870924
Comment:
    50kg/h biochar</t>
      </text>
    </comment>
    <comment ref="BA15" authorId="20" shapeId="0" xr:uid="{D457F27C-4E3F-4FB7-92CB-AC6277854B2C}">
      <text>
        <t xml:space="preserve">[Threaded comment]
Your version of Excel allows you to read this threaded comment; however, any edits to it will get removed if the file is opened in a newer version of Excel. Learn more: https://go.microsoft.com/fwlink/?linkid=870924
Comment:
    Page 30, AECOM report Next generation carbon capture technology: technoeconomic analysis work package 6
</t>
      </text>
    </comment>
    <comment ref="AK19" authorId="21" shapeId="0" xr:uid="{84822E8C-CAC6-4B17-9973-C603F326CEB6}">
      <text>
        <t xml:space="preserve">[Threaded comment]
Your version of Excel allows you to read this threaded comment; however, any edits to it will get removed if the file is opened in a newer version of Excel. Learn more: https://go.microsoft.com/fwlink/?linkid=870924
Comment:
    95% capture rate assumed
</t>
      </text>
    </comment>
    <comment ref="AX20" authorId="22" shapeId="0" xr:uid="{09CEAEF1-A6FA-4D38-A864-E378FDD78845}">
      <text>
        <t>[Threaded comment]
Your version of Excel allows you to read this threaded comment; however, any edits to it will get removed if the file is opened in a newer version of Excel. Learn more: https://go.microsoft.com/fwlink/?linkid=870924
Comment:
    Value from VSE 2025</t>
      </text>
    </comment>
    <comment ref="AE21" authorId="23" shapeId="0" xr:uid="{81DEA249-0EF9-4CE9-85E1-D32DE76D958B}">
      <text>
        <t>[Threaded comment]
Your version of Excel allows you to read this threaded comment; however, any edits to it will get removed if the file is opened in a newer version of Excel. Learn more: https://go.microsoft.com/fwlink/?linkid=870924
Comment:
    Given reaction C₆H₁₂O₆ + 12 H₂ → 6 CH₄ + 6 H₂O and LHVs:
H₂ LHV = 33.333 kWh/kg
CH₄ LHV = 13.8944 kWh/kg
dry-biomass (glucose-equivalent) LHV = 3.913889 kWh/kg_DM</t>
      </text>
    </comment>
    <comment ref="AE22" authorId="24" shapeId="0" xr:uid="{FC1537BE-BDAB-42AD-8BEA-B95DE29CE2BC}">
      <text>
        <t>[Threaded comment]
Your version of Excel allows you to read this threaded comment; however, any edits to it will get removed if the file is opened in a newer version of Excel. Learn more: https://go.microsoft.com/fwlink/?linkid=870924
Comment:
    Given reaction C₆H₁₂O₆ + 12 H₂ → 6 CH₄ + 6 H₂O and LHVs:
H₂ LHV = 33.333 kWh/kg
CH₄ LHV = 13.8944 kWh/kg
dry-biomass (glucose-equivalent) LHV = 3.913889 kWh/kg_DM</t>
      </text>
    </comment>
    <comment ref="AE23" authorId="25" shapeId="0" xr:uid="{7F22C78F-509E-4C01-980B-55E388CD3940}">
      <text>
        <t>[Threaded comment]
Your version of Excel allows you to read this threaded comment; however, any edits to it will get removed if the file is opened in a newer version of Excel. Learn more: https://go.microsoft.com/fwlink/?linkid=870924
Comment:
    Given reaction C₆H₁₂O₆ + 12 H₂ → 6 CH₄ + 6 H₂O and LHVs:
H₂ LHV = 33.333 kWh/kg
CH₄ LHV = 13.8944 kWh/kg
dry-biomass (glucose-equivalent) LHV = 3.913889 kWh/kg_DM</t>
      </text>
    </comment>
    <comment ref="AG35" authorId="26" shapeId="0" xr:uid="{0891B381-B46D-4D36-B06E-DE6F48995D1E}">
      <text>
        <t>[Threaded comment]
Your version of Excel allows you to read this threaded comment; however, any edits to it will get removed if the file is opened in a newer version of Excel. Learn more: https://go.microsoft.com/fwlink/?linkid=870924
Comment:
    Stoichiometric reaction considered: CO2 + 4H2 -&gt; CH4 + 2H2O, ΔH = -165 kJ/mol</t>
      </text>
    </comment>
    <comment ref="AG36" authorId="27" shapeId="0" xr:uid="{13D69F1B-E2AB-4F83-A34A-2205097FAB47}">
      <text>
        <t>[Threaded comment]
Your version of Excel allows you to read this threaded comment; however, any edits to it will get removed if the file is opened in a newer version of Excel. Learn more: https://go.microsoft.com/fwlink/?linkid=870924
Comment:
    Stoichiometric reaction considered: CO2 + 4H2 -&gt; CH4 + 2H2O, ΔH = -165 kJ/mol</t>
      </text>
    </comment>
    <comment ref="AG37" authorId="28" shapeId="0" xr:uid="{AE352DC5-512C-493D-94A2-7BB91DC7F3FC}">
      <text>
        <t>[Threaded comment]
Your version of Excel allows you to read this threaded comment; however, any edits to it will get removed if the file is opened in a newer version of Excel. Learn more: https://go.microsoft.com/fwlink/?linkid=870924
Comment:
    Stoichiometric reaction considered: CO2 + 4H2 -&gt; CH4 + 2H2O, ΔH = -165 kJ/mol</t>
      </text>
    </comment>
    <comment ref="AQ37" authorId="29" shapeId="0" xr:uid="{D24F90AA-8EED-4256-9A9F-605083B34D8D}">
      <text>
        <t>[Threaded comment]
Your version of Excel allows you to read this threaded comment; however, any edits to it will get removed if the file is opened in a newer version of Excel. Learn more: https://go.microsoft.com/fwlink/?linkid=870924
Comment:
    Why min unit size increases until 2050? This disincentivizes investment</t>
      </text>
    </comment>
    <comment ref="M38" authorId="3" shapeId="0" xr:uid="{AA283E70-D629-4D8E-AE65-7AB5CBA84975}">
      <text>
        <r>
          <rPr>
            <sz val="10"/>
            <color rgb="FF000000"/>
            <rFont val="Arial"/>
            <family val="2"/>
            <scheme val="minor"/>
          </rPr>
          <t>Chen, Yi-Chung Barton:
a calculation was moved to column 'BM'</t>
        </r>
      </text>
    </comment>
    <comment ref="AJ44" authorId="3" shapeId="0" xr:uid="{A10B5F3C-0DC6-4150-9EF7-984417525ED5}">
      <text>
        <r>
          <rPr>
            <sz val="10"/>
            <color rgb="FF000000"/>
            <rFont val="Arial"/>
            <family val="2"/>
            <scheme val="minor"/>
          </rPr>
          <t>Chen, Yi-Chung Barton:
assump_ID: CO2_conv_fac</t>
        </r>
      </text>
    </comment>
    <comment ref="AK44" authorId="3" shapeId="0" xr:uid="{922712DE-9FFA-4A5C-9380-0AFBFB916FBB}">
      <text>
        <r>
          <rPr>
            <sz val="10"/>
            <color rgb="FF000000"/>
            <rFont val="Arial"/>
            <family val="2"/>
            <scheme val="minor"/>
          </rPr>
          <t>Chen, Yi-Chung Barton:
assump_ID: CO2_conv_fac</t>
        </r>
      </text>
    </comment>
    <comment ref="G61" authorId="30" shapeId="0" xr:uid="{DE6D7C85-D6C4-4BE0-9409-A7466939DBA4}">
      <text>
        <t>[Threaded comment]
Your version of Excel allows you to read this threaded comment; however, any edits to it will get removed if the file is opened in a newer version of Excel. Learn more: https://go.microsoft.com/fwlink/?linkid=870924
Comment:
    Change from “Electricity” to “Electrical_Transmission”</t>
      </text>
    </comment>
    <comment ref="AU61" authorId="31" shapeId="0" xr:uid="{DBD5DDFE-C783-4EFE-AEB3-4F5206A6C357}">
      <text>
        <t>[Threaded comment]
Your version of Excel allows you to read this threaded comment; however, any edits to it will get removed if the file is opened in a newer version of Excel. Learn more: https://go.microsoft.com/fwlink/?linkid=870924
Comment:
    Is this really open_one_time?</t>
      </text>
    </comment>
    <comment ref="AK77" authorId="32" shapeId="0" xr:uid="{E290BA27-991F-4AC5-9620-41706B211A12}">
      <text>
        <t>[Threaded comment]
Your version of Excel allows you to read this threaded comment; however, any edits to it will get removed if the file is opened in a newer version of Excel. Learn more: https://go.microsoft.com/fwlink/?linkid=870924
Comment:
    Earlier was 0.2 in line with VSE but EGS systems for Switzerland are assumed to be 0.1 in line with expert comments in this table</t>
      </text>
    </comment>
    <comment ref="AT84" authorId="33" shapeId="0" xr:uid="{5B3BB1B9-E698-4C1F-9BB8-B31640F41561}">
      <text>
        <t>[Threaded comment]
Your version of Excel allows you to read this threaded comment; however, any edits to it will get removed if the file is opened in a newer version of Excel. Learn more: https://go.microsoft.com/fwlink/?linkid=870924
Comment:
    32000000$, 25Lt, 8000h/y, 43t/h --&gt; 744$/kg/h (Müller et al., 2025)</t>
      </text>
    </comment>
    <comment ref="AV84" authorId="34" shapeId="0" xr:uid="{7528CAC1-8E32-4FE7-8F3A-64F157278994}">
      <text>
        <t>[Threaded comment]
Your version of Excel allows you to read this threaded comment; however, any edits to it will get removed if the file is opened in a newer version of Excel. Learn more: https://go.microsoft.com/fwlink/?linkid=870924
Comment:
    According to Müller et al., 2025</t>
      </text>
    </comment>
    <comment ref="M86" authorId="35" shapeId="0" xr:uid="{BAB82FB6-DF22-4472-9CD7-7B3BE3A8C7B9}">
      <text>
        <t>[Threaded comment]
Your version of Excel allows you to read this threaded comment; however, any edits to it will get removed if the file is opened in a newer version of Excel. Learn more: https://go.microsoft.com/fwlink/?linkid=870924
Comment:
    If the main category of cells L35-37 and L44-46 is "Grid/Hydrogen", this should be "hydrogen/grid"</t>
      </text>
    </comment>
    <comment ref="AE86" authorId="3" shapeId="0" xr:uid="{32CDACA3-7E0B-47C9-B708-48B9193B995E}">
      <text>
        <r>
          <rPr>
            <sz val="10"/>
            <color rgb="FF000000"/>
            <rFont val="Arial"/>
            <family val="2"/>
            <scheme val="minor"/>
          </rPr>
          <t>Chen, Yi-Chung Barton:
ref_ID: VSE_danish_refuel_v10</t>
        </r>
      </text>
    </comment>
    <comment ref="AT86" authorId="3" shapeId="0" xr:uid="{F74CACF0-00C4-4CC5-BD46-231ACDF15D69}">
      <text>
        <r>
          <rPr>
            <sz val="10"/>
            <color rgb="FF000000"/>
            <rFont val="Arial"/>
            <scheme val="minor"/>
          </rPr>
          <t xml:space="preserve">Chen, Yi-Chung Barton:
ref_ID: VSE_danish_refuel_v10
Assumed Alkaline
</t>
        </r>
      </text>
    </comment>
    <comment ref="AK89" authorId="36" shapeId="0" xr:uid="{257AB47C-7F5A-4EDD-9C31-2F89FCC29D12}">
      <text>
        <t>[Threaded comment]
Your version of Excel allows you to read this threaded comment; however, any edits to it will get removed if the file is opened in a newer version of Excel. Learn more: https://go.microsoft.com/fwlink/?linkid=870924
Comment:
    50% heat recovery</t>
      </text>
    </comment>
    <comment ref="AK90" authorId="37" shapeId="0" xr:uid="{C910B2EC-9F45-46FC-80B8-C214E84760D2}">
      <text>
        <t>[Threaded comment]
Your version of Excel allows you to read this threaded comment; however, any edits to it will get removed if the file is opened in a newer version of Excel. Learn more: https://go.microsoft.com/fwlink/?linkid=870924
Comment:
    50% heat recovery</t>
      </text>
    </comment>
    <comment ref="AK91" authorId="38" shapeId="0" xr:uid="{7A0867F2-3C45-4C38-AD82-4EEB02572043}">
      <text>
        <t>[Threaded comment]
Your version of Excel allows you to read this threaded comment; however, any edits to it will get removed if the file is opened in a newer version of Excel. Learn more: https://go.microsoft.com/fwlink/?linkid=870924
Comment:
    50% heat recovery</t>
      </text>
    </comment>
    <comment ref="AK92" authorId="39" shapeId="0" xr:uid="{A16CB581-E0A8-42BF-84B3-1A8D44CD7B0A}">
      <text>
        <t>[Threaded comment]
Your version of Excel allows you to read this threaded comment; however, any edits to it will get removed if the file is opened in a newer version of Excel. Learn more: https://go.microsoft.com/fwlink/?linkid=870924
Comment:
    50% heat recovery</t>
      </text>
    </comment>
    <comment ref="B93" authorId="40" shapeId="0" xr:uid="{47A73710-8C9E-45AE-8949-C64471754E0C}">
      <text>
        <t>[Threaded comment]
Your version of Excel allows you to read this threaded comment; however, any edits to it will get removed if the file is opened in a newer version of Excel. Learn more: https://go.microsoft.com/fwlink/?linkid=870924
Comment:
    dont know the exact mass flows here</t>
      </text>
    </comment>
    <comment ref="AK93" authorId="41" shapeId="0" xr:uid="{4A1C0605-2CB1-48EB-8298-034A59D0BFB5}">
      <text>
        <t>[Threaded comment]
Your version of Excel allows you to read this threaded comment; however, any edits to it will get removed if the file is opened in a newer version of Excel. Learn more: https://go.microsoft.com/fwlink/?linkid=870924
Comment:
    50% heat recovery</t>
      </text>
    </comment>
    <comment ref="AM93" authorId="42" shapeId="0" xr:uid="{D5610500-162A-4189-9DEA-55FB8C101B62}">
      <text>
        <t>[Threaded comment]
Your version of Excel allows you to read this threaded comment; however, any edits to it will get removed if the file is opened in a newer version of Excel. Learn more: https://go.microsoft.com/fwlink/?linkid=870924
Comment:
    output over 1?</t>
      </text>
    </comment>
    <comment ref="AR93" authorId="43" shapeId="0" xr:uid="{AB5C310F-9B16-46C6-9206-96072D6ED087}">
      <text>
        <t>[Threaded comment]
Your version of Excel allows you to read this threaded comment; however, any edits to it will get removed if the file is opened in a newer version of Excel. Learn more: https://go.microsoft.com/fwlink/?linkid=870924
Comment:
    According to Müller et al., 30 years</t>
      </text>
    </comment>
    <comment ref="AV93" authorId="44" shapeId="0" xr:uid="{0B2F16EC-4AD6-4319-B760-1229ACF0F314}">
      <text>
        <t>[Threaded comment]
Your version of Excel allows you to read this threaded comment; however, any edits to it will get removed if the file is opened in a newer version of Excel. Learn more: https://go.microsoft.com/fwlink/?linkid=870924
Comment:
    Müller et al., 2025</t>
      </text>
    </comment>
    <comment ref="B94" authorId="45" shapeId="0" xr:uid="{301F1F15-6831-4D57-BDE6-8D8AA2794C61}">
      <text>
        <t>[Threaded comment]
Your version of Excel allows you to read this threaded comment; however, any edits to it will get removed if the file is opened in a newer version of Excel. Learn more: https://go.microsoft.com/fwlink/?linkid=870924
Comment:
    dont know the exact mass flows here</t>
      </text>
    </comment>
    <comment ref="AK94" authorId="46" shapeId="0" xr:uid="{7E3D1902-30CF-456D-8E4F-B7969848F823}">
      <text>
        <t>[Threaded comment]
Your version of Excel allows you to read this threaded comment; however, any edits to it will get removed if the file is opened in a newer version of Excel. Learn more: https://go.microsoft.com/fwlink/?linkid=870924
Comment:
    50% heat recovery</t>
      </text>
    </comment>
    <comment ref="AM94" authorId="47" shapeId="0" xr:uid="{F5F163F0-4EB7-4F6E-ACD3-37EB3CFEC202}">
      <text>
        <t>[Threaded comment]
Your version of Excel allows you to read this threaded comment; however, any edits to it will get removed if the file is opened in a newer version of Excel. Learn more: https://go.microsoft.com/fwlink/?linkid=870924
Comment:
    output over 1?</t>
      </text>
    </comment>
    <comment ref="AR94" authorId="48" shapeId="0" xr:uid="{A9FD2522-1FCD-48AB-BF89-A974B36B85B0}">
      <text>
        <t>[Threaded comment]
Your version of Excel allows you to read this threaded comment; however, any edits to it will get removed if the file is opened in a newer version of Excel. Learn more: https://go.microsoft.com/fwlink/?linkid=870924
Comment:
    According to Müller et al., 30 years</t>
      </text>
    </comment>
    <comment ref="AV94" authorId="49" shapeId="0" xr:uid="{CAA41016-2E76-409E-AABE-4134F74180D8}">
      <text>
        <t>[Threaded comment]
Your version of Excel allows you to read this threaded comment; however, any edits to it will get removed if the file is opened in a newer version of Excel. Learn more: https://go.microsoft.com/fwlink/?linkid=870924
Comment:
    Müller et al., 2025</t>
      </text>
    </comment>
    <comment ref="B95" authorId="50" shapeId="0" xr:uid="{EE130D50-97CB-479A-AC20-84A45A82BA6F}">
      <text>
        <t>[Threaded comment]
Your version of Excel allows you to read this threaded comment; however, any edits to it will get removed if the file is opened in a newer version of Excel. Learn more: https://go.microsoft.com/fwlink/?linkid=870924
Comment:
    dont know the exact mass flows here</t>
      </text>
    </comment>
    <comment ref="AK95" authorId="51" shapeId="0" xr:uid="{FEA528E9-4158-4664-ACDB-5522F20D9521}">
      <text>
        <t>[Threaded comment]
Your version of Excel allows you to read this threaded comment; however, any edits to it will get removed if the file is opened in a newer version of Excel. Learn more: https://go.microsoft.com/fwlink/?linkid=870924
Comment:
    50% heat recovery</t>
      </text>
    </comment>
    <comment ref="AM95" authorId="52" shapeId="0" xr:uid="{2954147D-1BE4-4086-BB5F-5FEA4B12E175}">
      <text>
        <t>[Threaded comment]
Your version of Excel allows you to read this threaded comment; however, any edits to it will get removed if the file is opened in a newer version of Excel. Learn more: https://go.microsoft.com/fwlink/?linkid=870924
Comment:
    output over 1?</t>
      </text>
    </comment>
    <comment ref="AR95" authorId="53" shapeId="0" xr:uid="{9746E0A6-7D0C-462B-B6A0-6DA90C047204}">
      <text>
        <t>[Threaded comment]
Your version of Excel allows you to read this threaded comment; however, any edits to it will get removed if the file is opened in a newer version of Excel. Learn more: https://go.microsoft.com/fwlink/?linkid=870924
Comment:
    According to Müller et al., 30 years</t>
      </text>
    </comment>
    <comment ref="AV95" authorId="54" shapeId="0" xr:uid="{0D7E9732-217C-4F1E-A08F-B9F7C93FA75C}">
      <text>
        <t>[Threaded comment]
Your version of Excel allows you to read this threaded comment; however, any edits to it will get removed if the file is opened in a newer version of Excel. Learn more: https://go.microsoft.com/fwlink/?linkid=870924
Comment:
    Müller et al., 2025</t>
      </text>
    </comment>
    <comment ref="B96" authorId="55" shapeId="0" xr:uid="{83F02919-F6B3-4A5A-91BE-3D7FCFA4F3B9}">
      <text>
        <t>[Threaded comment]
Your version of Excel allows you to read this threaded comment; however, any edits to it will get removed if the file is opened in a newer version of Excel. Learn more: https://go.microsoft.com/fwlink/?linkid=870924
Comment:
    dont know the exact mass flows here</t>
      </text>
    </comment>
    <comment ref="AK96" authorId="56" shapeId="0" xr:uid="{28A9ED8D-615E-4B87-AD94-506C795EDCE2}">
      <text>
        <t>[Threaded comment]
Your version of Excel allows you to read this threaded comment; however, any edits to it will get removed if the file is opened in a newer version of Excel. Learn more: https://go.microsoft.com/fwlink/?linkid=870924
Comment:
    50% heat recovery</t>
      </text>
    </comment>
    <comment ref="AM96" authorId="57" shapeId="0" xr:uid="{D4190C98-9118-4849-B365-694651C622CC}">
      <text>
        <t>[Threaded comment]
Your version of Excel allows you to read this threaded comment; however, any edits to it will get removed if the file is opened in a newer version of Excel. Learn more: https://go.microsoft.com/fwlink/?linkid=870924
Comment:
    output over 1?</t>
      </text>
    </comment>
    <comment ref="AR96" authorId="58" shapeId="0" xr:uid="{F6EFB5EA-A562-4706-966D-79C02147B20A}">
      <text>
        <t>[Threaded comment]
Your version of Excel allows you to read this threaded comment; however, any edits to it will get removed if the file is opened in a newer version of Excel. Learn more: https://go.microsoft.com/fwlink/?linkid=870924
Comment:
    According to Müller et al., 30 years</t>
      </text>
    </comment>
    <comment ref="AV96" authorId="59" shapeId="0" xr:uid="{13E210BB-D68F-46EF-8DF0-4F07036BA163}">
      <text>
        <t>[Threaded comment]
Your version of Excel allows you to read this threaded comment; however, any edits to it will get removed if the file is opened in a newer version of Excel. Learn more: https://go.microsoft.com/fwlink/?linkid=870924
Comment:
    Müller et al., 2025</t>
      </text>
    </comment>
    <comment ref="M98" authorId="60" shapeId="0" xr:uid="{49D3497F-E854-49D5-875A-0C9E9068207A}">
      <text>
        <t>[Threaded comment]
Your version of Excel allows you to read this threaded comment; however, any edits to it will get removed if the file is opened in a newer version of Excel. Learn more: https://go.microsoft.com/fwlink/?linkid=870924
Comment:
    if the main category of L70-L72 cells stays "electrolysis" this should be "fuel cell"</t>
      </text>
    </comment>
    <comment ref="AT100" authorId="61" shapeId="0" xr:uid="{B493E994-ABA5-4002-85B8-5D9F4A8B6089}">
      <text>
        <t>[Threaded comment]
Your version of Excel allows you to read this threaded comment; however, any edits to it will get removed if the file is opened in a newer version of Excel. Learn more: https://go.microsoft.com/fwlink/?linkid=870924
Comment:
    Targets 2030 for EU are 1500-4000 euros/kW (source: JRC, see comment)
Why does the CAPEX stay constant over the years?</t>
      </text>
    </comment>
    <comment ref="AT101" authorId="62" shapeId="0" xr:uid="{6A38BD45-ABFE-4182-B455-55BFCA315F17}">
      <text>
        <t>[Threaded comment]
Your version of Excel allows you to read this threaded comment; however, any edits to it will get removed if the file is opened in a newer version of Excel. Learn more: https://go.microsoft.com/fwlink/?linkid=870924
Comment:
    Targets 2030 for EU are 1500-4000 euros/kW (source: JRC, see comment)
Why does the CAPEX stay constant over the years?</t>
      </text>
    </comment>
    <comment ref="N106" authorId="63" shapeId="0" xr:uid="{0886A3BF-4191-4012-AB67-4884B415442C}">
      <text>
        <t>[Threaded comment]
Your version of Excel allows you to read this threaded comment; however, any edits to it will get removed if the file is opened in a newer version of Excel. Learn more: https://go.microsoft.com/fwlink/?linkid=870924
Comment:
    to be checked what's the definition of category specification</t>
      </text>
    </comment>
    <comment ref="AE106" authorId="64" shapeId="0" xr:uid="{340C1639-D5DF-414C-BF64-E89A5781B48D}">
      <text>
        <t>[Threaded comment]
Your version of Excel allows you to read this threaded comment; however, any edits to it will get removed if the file is opened in a newer version of Excel. Learn more: https://go.microsoft.com/fwlink/?linkid=870924
Comment:
    should environment heat considered as the input as well?</t>
      </text>
    </comment>
    <comment ref="N107" authorId="65" shapeId="0" xr:uid="{35C9F0B7-ED6C-44C4-944F-AAE9ECF8A89C}">
      <text>
        <t>[Threaded comment]
Your version of Excel allows you to read this threaded comment; however, any edits to it will get removed if the file is opened in a newer version of Excel. Learn more: https://go.microsoft.com/fwlink/?linkid=870924
Comment:
    to be checked what's the definition of category specification</t>
      </text>
    </comment>
    <comment ref="AE107" authorId="66" shapeId="0" xr:uid="{597E42E0-F8DE-46DB-B14A-9705B0F44D72}">
      <text>
        <t>[Threaded comment]
Your version of Excel allows you to read this threaded comment; however, any edits to it will get removed if the file is opened in a newer version of Excel. Learn more: https://go.microsoft.com/fwlink/?linkid=870924
Comment:
    should environment heat considered as the input as well?</t>
      </text>
    </comment>
    <comment ref="N108" authorId="67" shapeId="0" xr:uid="{8FE0CA0F-332C-4B0D-8DDD-C018E32E8FBD}">
      <text>
        <t>[Threaded comment]
Your version of Excel allows you to read this threaded comment; however, any edits to it will get removed if the file is opened in a newer version of Excel. Learn more: https://go.microsoft.com/fwlink/?linkid=870924
Comment:
    to be checked what's the definition of category specification</t>
      </text>
    </comment>
    <comment ref="AE108" authorId="68" shapeId="0" xr:uid="{5EF77677-A732-44A8-9BD6-42379F2FC82A}">
      <text>
        <t>[Threaded comment]
Your version of Excel allows you to read this threaded comment; however, any edits to it will get removed if the file is opened in a newer version of Excel. Learn more: https://go.microsoft.com/fwlink/?linkid=870924
Comment:
    should environment heat considered as the input as well?</t>
      </text>
    </comment>
    <comment ref="N109" authorId="69" shapeId="0" xr:uid="{D3B82DE3-D7D7-4C3F-81C0-92FEA8EEECFF}">
      <text>
        <t>[Threaded comment]
Your version of Excel allows you to read this threaded comment; however, any edits to it will get removed if the file is opened in a newer version of Excel. Learn more: https://go.microsoft.com/fwlink/?linkid=870924
Comment:
    to be checked what's the definition of category specification</t>
      </text>
    </comment>
    <comment ref="AE109" authorId="70" shapeId="0" xr:uid="{2B2E17C0-570C-4D2B-BABE-163FA554647B}">
      <text>
        <t>[Threaded comment]
Your version of Excel allows you to read this threaded comment; however, any edits to it will get removed if the file is opened in a newer version of Excel. Learn more: https://go.microsoft.com/fwlink/?linkid=870924
Comment:
    should environment heat considered as the input as well?</t>
      </text>
    </comment>
    <comment ref="AT114" authorId="4" shapeId="0" xr:uid="{F68AF359-3B9F-4D5B-8871-34C3EAF0B0FC}">
      <text>
        <r>
          <rPr>
            <b/>
            <sz val="9"/>
            <color indexed="81"/>
            <rFont val="Tahoma"/>
            <family val="2"/>
          </rPr>
          <t>Mutschler, Robin:</t>
        </r>
        <r>
          <rPr>
            <sz val="9"/>
            <color indexed="81"/>
            <rFont val="Tahoma"/>
            <family val="2"/>
          </rPr>
          <t xml:space="preserve">
report_VSE_2022</t>
        </r>
      </text>
    </comment>
    <comment ref="AT115" authorId="4" shapeId="0" xr:uid="{E7CDFA3D-66CD-4F2D-ADB8-415D28A37FB0}">
      <text>
        <r>
          <rPr>
            <b/>
            <sz val="9"/>
            <color indexed="81"/>
            <rFont val="Tahoma"/>
            <family val="2"/>
          </rPr>
          <t>Mutschler, Robin:</t>
        </r>
        <r>
          <rPr>
            <sz val="9"/>
            <color indexed="81"/>
            <rFont val="Tahoma"/>
            <family val="2"/>
          </rPr>
          <t xml:space="preserve">
report_VSE_2022</t>
        </r>
      </text>
    </comment>
    <comment ref="AT116" authorId="4" shapeId="0" xr:uid="{D8FA578A-F15A-435F-80A6-CA9D9B7B069A}">
      <text>
        <r>
          <rPr>
            <b/>
            <sz val="9"/>
            <color indexed="81"/>
            <rFont val="Tahoma"/>
            <family val="2"/>
          </rPr>
          <t>Mutschler, Robin:</t>
        </r>
        <r>
          <rPr>
            <sz val="9"/>
            <color indexed="81"/>
            <rFont val="Tahoma"/>
            <family val="2"/>
          </rPr>
          <t xml:space="preserve">
report_VSE_2022</t>
        </r>
      </text>
    </comment>
    <comment ref="AT117" authorId="4" shapeId="0" xr:uid="{2BFF5F8D-C1AD-4857-94D7-298C0BFDEB4C}">
      <text>
        <r>
          <rPr>
            <b/>
            <sz val="9"/>
            <color indexed="81"/>
            <rFont val="Tahoma"/>
            <family val="2"/>
          </rPr>
          <t>Mutschler, Robin:</t>
        </r>
        <r>
          <rPr>
            <sz val="9"/>
            <color indexed="81"/>
            <rFont val="Tahoma"/>
            <family val="2"/>
          </rPr>
          <t xml:space="preserve">
report_VSE_2022</t>
        </r>
      </text>
    </comment>
    <comment ref="AJ118" authorId="71" shapeId="0" xr:uid="{CB89E508-2454-44F7-A7DD-88C8A8F63E91}">
      <text>
        <t>[Threaded comment]
Your version of Excel allows you to read this threaded comment; however, any edits to it will get removed if the file is opened in a newer version of Excel. Learn more: https://go.microsoft.com/fwlink/?linkid=870924
Comment:
    What does a range mean here?</t>
      </text>
    </comment>
    <comment ref="AK118" authorId="72" shapeId="0" xr:uid="{FF6E80F8-5216-453A-856F-6EACED92A204}">
      <text>
        <t>[Threaded comment]
Your version of Excel allows you to read this threaded comment; however, any edits to it will get removed if the file is opened in a newer version of Excel. Learn more: https://go.microsoft.com/fwlink/?linkid=870924
Comment:
    What does a range mean here?</t>
      </text>
    </comment>
    <comment ref="BB145" authorId="73" shapeId="0" xr:uid="{2CCC695D-E06F-4BA8-AA59-24889AFF0842}">
      <text>
        <t>[Threaded comment]
Your version of Excel allows you to read this threaded comment; however, any edits to it will get removed if the file is opened in a newer version of Excel. Learn more: https://go.microsoft.com/fwlink/?linkid=870924
Comment:
    Any value for mono-Si PV? Or bi-facial?</t>
      </text>
    </comment>
    <comment ref="AR153" authorId="3" shapeId="0" xr:uid="{2F7F61A3-6A0A-4398-809B-A9940231686D}">
      <text>
        <r>
          <rPr>
            <b/>
            <sz val="9"/>
            <color indexed="81"/>
            <rFont val="Tahoma"/>
            <family val="2"/>
          </rPr>
          <t>Chen, Yi-Chung Barton:</t>
        </r>
        <r>
          <rPr>
            <sz val="9"/>
            <color indexed="81"/>
            <rFont val="Tahoma"/>
            <family val="2"/>
          </rPr>
          <t xml:space="preserve">
33 year in VSE 2025 report, but keep it as 25 year for now</t>
        </r>
      </text>
    </comment>
    <comment ref="AT153" authorId="74" shapeId="0" xr:uid="{B5AC9A6D-49A5-44E2-825B-2F711FC3ECC9}">
      <text>
        <t>[Threaded comment]
Your version of Excel allows you to read this threaded comment; however, any edits to it will get removed if the file is opened in a newer version of Excel. Learn more: https://go.microsoft.com/fwlink/?linkid=870924
Comment:
    Update the CAPEX and get the values for ehubX (CHF/m2)</t>
      </text>
    </comment>
    <comment ref="BB156" authorId="75" shapeId="0" xr:uid="{00C2DB72-54D7-43F5-B303-7597B21868D4}">
      <text>
        <t>[Threaded comment]
Your version of Excel allows you to read this threaded comment; however, any edits to it will get removed if the file is opened in a newer version of Excel. Learn more: https://go.microsoft.com/fwlink/?linkid=870924
Comment:
    Any value for mono-Si PV? Or bi-facial?</t>
      </text>
    </comment>
    <comment ref="AG158" authorId="76" shapeId="0" xr:uid="{E4977D20-9F06-49C2-933A-25E127F3FDF1}">
      <text>
        <t xml:space="preserve">[Threaded comment]
Your version of Excel allows you to read this threaded comment; however, any edits to it will get removed if the file is opened in a newer version of Excel. Learn more: https://go.microsoft.com/fwlink/?linkid=870924
Comment:
    CO + 3H2 -&gt; CH4 + H2O, ΔH = -206 kJ/mol
</t>
      </text>
    </comment>
    <comment ref="AG159" authorId="77" shapeId="0" xr:uid="{483AAA33-B9E5-4F9E-A948-04D0C571A5A0}">
      <text>
        <t xml:space="preserve">[Threaded comment]
Your version of Excel allows you to read this threaded comment; however, any edits to it will get removed if the file is opened in a newer version of Excel. Learn more: https://go.microsoft.com/fwlink/?linkid=870924
Comment:
    CO + 3H2 -&gt; CH4 + H2O, ΔH = -206 kJ/mol
</t>
      </text>
    </comment>
    <comment ref="AG160" authorId="78" shapeId="0" xr:uid="{EF8A188C-D611-4BB9-9603-65513BE17DE1}">
      <text>
        <t xml:space="preserve">[Threaded comment]
Your version of Excel allows you to read this threaded comment; however, any edits to it will get removed if the file is opened in a newer version of Excel. Learn more: https://go.microsoft.com/fwlink/?linkid=870924
Comment:
    CO + 3H2 -&gt; CH4 + H2O, ΔH = -206 kJ/mol
</t>
      </text>
    </comment>
    <comment ref="F166" authorId="79" shapeId="0" xr:uid="{CDD04772-B578-4758-8F22-910F0AA3634C}">
      <text>
        <t xml:space="preserve">[Threaded comment]
Your version of Excel allows you to read this threaded comment; however, any edits to it will get removed if the file is opened in a newer version of Excel. Learn more: https://go.microsoft.com/fwlink/?linkid=870924
Comment:
    Maybe remove _2050 from name?
</t>
      </text>
    </comment>
    <comment ref="AC183" authorId="80" shapeId="0" xr:uid="{BAF91E88-47F2-43AA-B4B6-A3937B50B01F}">
      <text>
        <t>[Threaded comment]
Your version of Excel allows you to read this threaded comment; however, any edits to it will get removed if the file is opened in a newer version of Excel. Learn more: https://go.microsoft.com/fwlink/?linkid=870924
Comment:
    is this O2 based on energy or mass?</t>
      </text>
    </comment>
    <comment ref="P192" authorId="81" shapeId="0" xr:uid="{8193506F-136E-4605-8E87-13411456E790}">
      <text>
        <t>[Threaded comment]
Your version of Excel allows you to read this threaded comment; however, any edits to it will get removed if the file is opened in a newer version of Excel. Learn more: https://go.microsoft.com/fwlink/?linkid=870924
Comment:
    50kg/h biochar</t>
      </text>
    </comment>
    <comment ref="P194" authorId="82" shapeId="0" xr:uid="{F3B0A71E-4171-41EC-8489-7A4AB5669510}">
      <text>
        <t>[Threaded comment]
Your version of Excel allows you to read this threaded comment; however, any edits to it will get removed if the file is opened in a newer version of Excel. Learn more: https://go.microsoft.com/fwlink/?linkid=870924
Comment:
    50000t/year biodiesel/8000h = 6.25 t/h</t>
      </text>
    </comment>
    <comment ref="AE200" authorId="83" shapeId="0" xr:uid="{09BB6E08-0B43-40E2-9B8E-CBDC95C299B0}">
      <text>
        <t>[Threaded comment]
Your version of Excel allows you to read this threaded comment; however, any edits to it will get removed if the file is opened in a newer version of Excel. Learn more: https://go.microsoft.com/fwlink/?linkid=870924
Comment:
    To be checked again in April</t>
      </text>
    </comment>
    <comment ref="AK200" authorId="84" shapeId="0" xr:uid="{9CCA2D43-18FE-4518-9EDC-3B5B92E708DA}">
      <text>
        <t>[Threaded comment]
Your version of Excel allows you to read this threaded comment; however, any edits to it will get removed if the file is opened in a newer version of Excel. Learn more: https://go.microsoft.com/fwlink/?linkid=870924
Comment:
    To be checked again in April</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Chen, Yi-Chung Barton</author>
    <author>Mutschler, Robin</author>
    <author>tc={97F697F5-8ADA-4C9D-BD63-FAA97B6C433E}</author>
    <author>tc={C5365DEB-B2A8-4357-9CA6-F89979B47759}</author>
    <author>tc={5834AB2A-7BE3-461F-A7C0-5F135950A03C}</author>
    <author>tc={C8026AA5-99FB-4C4D-94AD-C7822615DD06}</author>
    <author>tc={383B699C-8640-401D-BFD6-09B685A33D46}</author>
    <author>tc={76E64DEF-8602-4E71-A528-7C570EC8ADE2}</author>
    <author>tc={26FCCB93-4C60-4C6C-B279-DC063E60D8DB}</author>
    <author>tc={F7859307-1E94-4B69-B003-95D61E0D8F65}</author>
    <author>tc={CD93A327-747F-4377-B286-A124EBB1D457}</author>
    <author>tc={FA463CA6-6306-49DC-829F-6C9D82D592FE}</author>
  </authors>
  <commentList>
    <comment ref="E3" authorId="0" shapeId="0" xr:uid="{1AA920EF-AD84-4BAF-9159-D3E8AA429CF6}">
      <text>
        <r>
          <rPr>
            <sz val="10"/>
            <color rgb="FF000000"/>
            <rFont val="Arial"/>
            <family val="2"/>
            <scheme val="minor"/>
          </rPr>
          <t>ehubX Tech ID</t>
        </r>
      </text>
    </comment>
    <comment ref="F3" authorId="1" shapeId="0" xr:uid="{E1D550D6-F1C3-4170-A717-B375E8693FA6}">
      <text>
        <r>
          <rPr>
            <b/>
            <sz val="9"/>
            <color indexed="81"/>
            <rFont val="Tahoma"/>
            <family val="2"/>
          </rPr>
          <t>Chen, Yi-Chung Barton:</t>
        </r>
        <r>
          <rPr>
            <sz val="9"/>
            <color indexed="81"/>
            <rFont val="Tahoma"/>
            <family val="2"/>
          </rPr>
          <t xml:space="preserve">
"IRI" (Internationalized Resource Identifier)</t>
        </r>
      </text>
    </comment>
    <comment ref="I3" authorId="2" shapeId="0" xr:uid="{726DC3C9-B1F3-4EC1-B2A3-1F6245A36DA9}">
      <text>
        <r>
          <rPr>
            <b/>
            <sz val="9"/>
            <color indexed="81"/>
            <rFont val="Tahoma"/>
            <family val="2"/>
          </rPr>
          <t>Mutschler, Robin:</t>
        </r>
        <r>
          <rPr>
            <sz val="9"/>
            <color indexed="81"/>
            <rFont val="Tahoma"/>
            <family val="2"/>
          </rPr>
          <t xml:space="preserve">
Orient closely at the BFE Energiestatistik:
https://www.bfe.admin.ch/bfe/de/home/versorgung/statistik-und-geodaten/energiestatistiken/gesamtenergiestatistik.html</t>
        </r>
      </text>
    </comment>
    <comment ref="N3" authorId="2" shapeId="0" xr:uid="{EA949690-B5B3-46DB-A077-00D37D4089B7}">
      <text>
        <r>
          <rPr>
            <b/>
            <sz val="9"/>
            <color indexed="81"/>
            <rFont val="Tahoma"/>
            <family val="2"/>
          </rPr>
          <t>Mutschler, Robin:</t>
        </r>
        <r>
          <rPr>
            <sz val="9"/>
            <color indexed="81"/>
            <rFont val="Tahoma"/>
            <family val="2"/>
          </rPr>
          <t xml:space="preserve">
The technology will be available from this year on (2020 means -&gt; technology is available in any case)</t>
        </r>
      </text>
    </comment>
    <comment ref="Q3" authorId="2" shapeId="0" xr:uid="{3B90B48D-6C8F-4B28-A749-4C4DD6AA1BC0}">
      <text>
        <r>
          <rPr>
            <b/>
            <sz val="9"/>
            <color indexed="81"/>
            <rFont val="Tahoma"/>
            <family val="2"/>
          </rPr>
          <t>Mutschler, Robin:</t>
        </r>
        <r>
          <rPr>
            <sz val="9"/>
            <color indexed="81"/>
            <rFont val="Tahoma"/>
            <family val="2"/>
          </rPr>
          <t xml:space="preserve">
In which year was the technology evaluated</t>
        </r>
      </text>
    </comment>
    <comment ref="R3" authorId="2" shapeId="0" xr:uid="{94B1856E-7D02-42AE-A26F-977A1806DCA1}">
      <text>
        <r>
          <rPr>
            <b/>
            <sz val="9"/>
            <color indexed="81"/>
            <rFont val="Tahoma"/>
            <family val="2"/>
          </rPr>
          <t>Mutschler, Robin:</t>
        </r>
        <r>
          <rPr>
            <sz val="9"/>
            <color indexed="81"/>
            <rFont val="Tahoma"/>
            <family val="2"/>
          </rPr>
          <t xml:space="preserve">
In corresponding technology year
</t>
        </r>
      </text>
    </comment>
    <comment ref="S3" authorId="2" shapeId="0" xr:uid="{8F3720E7-6D5E-4903-8A6A-AF0E9DE1FE4A}">
      <text>
        <r>
          <rPr>
            <b/>
            <sz val="9"/>
            <color indexed="81"/>
            <rFont val="Tahoma"/>
            <family val="2"/>
          </rPr>
          <t>Mutschler, Robin:</t>
        </r>
        <r>
          <rPr>
            <sz val="9"/>
            <color indexed="81"/>
            <rFont val="Tahoma"/>
            <family val="2"/>
          </rPr>
          <t xml:space="preserve">
What is included in the process / cost? 
Typically ready to operate plant / tech. </t>
        </r>
      </text>
    </comment>
    <comment ref="T3" authorId="2" shapeId="0" xr:uid="{67C6D172-183C-4115-B285-9702DD897077}">
      <text>
        <r>
          <rPr>
            <b/>
            <sz val="9"/>
            <color indexed="81"/>
            <rFont val="Tahoma"/>
            <family val="2"/>
          </rPr>
          <t>Mutschler, Robin:</t>
        </r>
        <r>
          <rPr>
            <sz val="9"/>
            <color indexed="81"/>
            <rFont val="Tahoma"/>
            <family val="2"/>
          </rPr>
          <t xml:space="preserve">
The technology will be available from this year on (2020 means -&gt; technology is available in any case)</t>
        </r>
      </text>
    </comment>
    <comment ref="V3" authorId="1" shapeId="0" xr:uid="{C6142DA7-7E83-4753-81AE-2627350097FB}">
      <text>
        <r>
          <rPr>
            <b/>
            <sz val="9"/>
            <color indexed="81"/>
            <rFont val="Tahoma"/>
            <family val="2"/>
          </rPr>
          <t>Chen, Yi-Chung Barton:</t>
        </r>
        <r>
          <rPr>
            <sz val="9"/>
            <color indexed="81"/>
            <rFont val="Tahoma"/>
            <family val="2"/>
          </rPr>
          <t xml:space="preserve">
based on LHV</t>
        </r>
      </text>
    </comment>
    <comment ref="W3" authorId="2" shapeId="0" xr:uid="{3444662D-5767-4DA8-8078-486D65469C9B}">
      <text>
        <r>
          <rPr>
            <b/>
            <sz val="9"/>
            <color indexed="81"/>
            <rFont val="Tahoma"/>
            <family val="2"/>
          </rPr>
          <t>Mutschler, Robin:</t>
        </r>
        <r>
          <rPr>
            <sz val="9"/>
            <color indexed="81"/>
            <rFont val="Tahoma"/>
            <family val="2"/>
          </rPr>
          <t xml:space="preserve">
Carriers according to the "Carrier" tab</t>
        </r>
      </text>
    </comment>
    <comment ref="Y3" authorId="2" shapeId="0" xr:uid="{8D173FC6-E925-4442-8700-DF477BCEC159}">
      <text>
        <r>
          <rPr>
            <b/>
            <sz val="9"/>
            <color indexed="81"/>
            <rFont val="Tahoma"/>
            <family val="2"/>
          </rPr>
          <t>Mutschler, Robin:</t>
        </r>
        <r>
          <rPr>
            <sz val="9"/>
            <color indexed="81"/>
            <rFont val="Tahoma"/>
            <family val="2"/>
          </rPr>
          <t xml:space="preserve">
Refers to Main Output Carrier</t>
        </r>
      </text>
    </comment>
    <comment ref="Z3" authorId="3" shapeId="0" xr:uid="{97F697F5-8ADA-4C9D-BD63-FAA97B6C433E}">
      <text>
        <t>[Threaded comment]
Your version of Excel allows you to read this threaded comment; however, any edits to it will get removed if the file is opened in a newer version of Excel. Learn more: https://go.microsoft.com/fwlink/?linkid=870924
Comment:
    What is this value refer to? Fraction to the storage capacity?</t>
      </text>
    </comment>
    <comment ref="AQ3" authorId="1" shapeId="0" xr:uid="{C08FCB0C-FD32-4936-BD25-B0F5660FF6E0}">
      <text>
        <r>
          <rPr>
            <b/>
            <sz val="9"/>
            <color indexed="81"/>
            <rFont val="Tahoma"/>
            <family val="2"/>
          </rPr>
          <t>Chen, Yi-Chung Barton:</t>
        </r>
        <r>
          <rPr>
            <sz val="9"/>
            <color indexed="81"/>
            <rFont val="Tahoma"/>
            <family val="2"/>
          </rPr>
          <t xml:space="preserve">
unit: kgCO2-eq per [LCA unit]</t>
        </r>
      </text>
    </comment>
    <comment ref="AB12" authorId="4" shapeId="0" xr:uid="{C5365DEB-B2A8-4357-9CA6-F89979B47759}">
      <text>
        <t>[Threaded comment]
Your version of Excel allows you to read this threaded comment; however, any edits to it will get removed if the file is opened in a newer version of Excel. Learn more: https://go.microsoft.com/fwlink/?linkid=870924
Comment:
    The charging and discharging process are modelled seperatedly</t>
      </text>
    </comment>
    <comment ref="AC12" authorId="5" shapeId="0" xr:uid="{5834AB2A-7BE3-461F-A7C0-5F135950A03C}">
      <text>
        <t>[Threaded comment]
Your version of Excel allows you to read this threaded comment; however, any edits to it will get removed if the file is opened in a newer version of Excel. Learn more: https://go.microsoft.com/fwlink/?linkid=870924
Comment:
    The charging and discharging process are modelled seperatedly</t>
      </text>
    </comment>
    <comment ref="AB13" authorId="6" shapeId="0" xr:uid="{C8026AA5-99FB-4C4D-94AD-C7822615DD06}">
      <text>
        <t>[Threaded comment]
Your version of Excel allows you to read this threaded comment; however, any edits to it will get removed if the file is opened in a newer version of Excel. Learn more: https://go.microsoft.com/fwlink/?linkid=870924
Comment:
    The charging and discharging process are modelled seperatedly</t>
      </text>
    </comment>
    <comment ref="AC13" authorId="7" shapeId="0" xr:uid="{383B699C-8640-401D-BFD6-09B685A33D46}">
      <text>
        <t>[Threaded comment]
Your version of Excel allows you to read this threaded comment; however, any edits to it will get removed if the file is opened in a newer version of Excel. Learn more: https://go.microsoft.com/fwlink/?linkid=870924
Comment:
    The charging and discharging process are modelled seperatedly</t>
      </text>
    </comment>
    <comment ref="E16" authorId="8" shapeId="0" xr:uid="{76E64DEF-8602-4E71-A528-7C570EC8ADE2}">
      <text>
        <t>[Threaded comment]
Your version of Excel allows you to read this threaded comment; however, any edits to it will get removed if the file is opened in a newer version of Excel. Learn more: https://go.microsoft.com/fwlink/?linkid=870924
Comment:
    not sure what is this for, but currently it has the same cost as seasonal heat storage at district level (underestimate the cost?)</t>
      </text>
    </comment>
    <comment ref="AF17" authorId="9" shapeId="0" xr:uid="{26FCCB93-4C60-4C6C-B279-DC063E60D8DB}">
      <text>
        <t>[Threaded comment]
Your version of Excel allows you to read this threaded comment; however, any edits to it will get removed if the file is opened in a newer version of Excel. Learn more: https://go.microsoft.com/fwlink/?linkid=870924
Comment:
    No self-discharge for H2 storage?</t>
      </text>
    </comment>
    <comment ref="AI17" authorId="10" shapeId="0" xr:uid="{F7859307-1E94-4B69-B003-95D61E0D8F65}">
      <text>
        <t xml:space="preserve">[Threaded comment]
Your version of Excel allows you to read this threaded comment; however, any edits to it will get removed if the file is opened in a newer version of Excel. Learn more: https://go.microsoft.com/fwlink/?linkid=870924
Comment:
    No power capacity (CHF/kW) cost for H2 storage tank? </t>
      </text>
    </comment>
    <comment ref="AF18" authorId="11" shapeId="0" xr:uid="{CD93A327-747F-4377-B286-A124EBB1D457}">
      <text>
        <t>[Threaded comment]
Your version of Excel allows you to read this threaded comment; however, any edits to it will get removed if the file is opened in a newer version of Excel. Learn more: https://go.microsoft.com/fwlink/?linkid=870924
Comment:
    No methane loss?</t>
      </text>
    </comment>
    <comment ref="AI25" authorId="1" shapeId="0" xr:uid="{68B7E652-15BA-4B1B-8354-D3771A58A7B2}">
      <text>
        <r>
          <rPr>
            <b/>
            <sz val="9"/>
            <color indexed="81"/>
            <rFont val="Tahoma"/>
            <charset val="1"/>
          </rPr>
          <t>Chen, Yi-Chung Barton:</t>
        </r>
        <r>
          <rPr>
            <sz val="9"/>
            <color indexed="81"/>
            <rFont val="Tahoma"/>
            <charset val="1"/>
          </rPr>
          <t xml:space="preserve">
0.9 EUR/kgNH3 = </t>
        </r>
      </text>
    </comment>
    <comment ref="AM25" authorId="12" shapeId="0" xr:uid="{FA463CA6-6306-49DC-829F-6C9D82D592FE}">
      <text>
        <t>[Threaded comment]
Your version of Excel allows you to read this threaded comment; however, any edits to it will get removed if the file is opened in a newer version of Excel. Learn more: https://go.microsoft.com/fwlink/?linkid=870924
Comment:
    To check the cost of NH3</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800-000001000000}">
      <text>
        <r>
          <rPr>
            <sz val="10"/>
            <color rgb="FF000000"/>
            <rFont val="Arial"/>
            <family val="2"/>
            <scheme val="minor"/>
          </rPr>
          <t>ehubX Tech ID</t>
        </r>
      </text>
    </comment>
    <comment ref="G1" authorId="0" shapeId="0" xr:uid="{00000000-0006-0000-0800-000002000000}">
      <text>
        <r>
          <rPr>
            <sz val="10"/>
            <color rgb="FF000000"/>
            <rFont val="Arial"/>
            <family val="2"/>
            <scheme val="minor"/>
          </rPr>
          <t>need to be defined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tc={55FB4607-7BC4-425E-8EE1-6B3CD1102681}</author>
  </authors>
  <commentList>
    <comment ref="F5" authorId="0" shapeId="0" xr:uid="{55FB4607-7BC4-425E-8EE1-6B3CD1102681}">
      <text>
        <t>[Threaded comment]
Your version of Excel allows you to read this threaded comment; however, any edits to it will get removed if the file is opened in a newer version of Excel. Learn more: https://go.microsoft.com/fwlink/?linkid=870924
Comment:
    What is the unit?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Upadhyay, Arijit Alip</author>
  </authors>
  <commentList>
    <comment ref="K70" authorId="0" shapeId="0" xr:uid="{23C78734-06AB-49E9-9ECA-0C4021DE8C77}">
      <text>
        <r>
          <rPr>
            <b/>
            <sz val="9"/>
            <color indexed="81"/>
            <rFont val="Tahoma"/>
            <family val="2"/>
          </rPr>
          <t>Upadhyay, Arijit Alip:</t>
        </r>
        <r>
          <rPr>
            <sz val="9"/>
            <color indexed="81"/>
            <rFont val="Tahoma"/>
            <family val="2"/>
          </rPr>
          <t xml:space="preserve">
Sum max = 2 TWh in 2040 for alpine solar</t>
        </r>
      </text>
    </comment>
    <comment ref="K71" authorId="0" shapeId="0" xr:uid="{506585B8-219C-4BDA-97A3-ADD5A4A53B6F}">
      <text>
        <r>
          <rPr>
            <b/>
            <sz val="9"/>
            <color indexed="81"/>
            <rFont val="Tahoma"/>
            <family val="2"/>
          </rPr>
          <t>Upadhyay, Arijit Alip:</t>
        </r>
        <r>
          <rPr>
            <sz val="9"/>
            <color indexed="81"/>
            <rFont val="Tahoma"/>
            <family val="2"/>
          </rPr>
          <t xml:space="preserve">
Sum max = 5 TWh in 2050 for alpine solar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B00-000001000000}">
      <text>
        <r>
          <rPr>
            <sz val="10"/>
            <color rgb="FF000000"/>
            <rFont val="Arial"/>
            <family val="2"/>
            <scheme val="minor"/>
          </rPr>
          <t>like a snapshot of the parameter of a technology at specific time/locatoin/scale/application...etc.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<sst xmlns="http://schemas.openxmlformats.org/spreadsheetml/2006/main" count="12000" uniqueCount="2365">
  <si>
    <t>README</t>
  </si>
  <si>
    <t>Contact</t>
  </si>
  <si>
    <t>Baron Chen</t>
  </si>
  <si>
    <t>yi-chung.chen@empa.ch</t>
  </si>
  <si>
    <t>Robin Mutschler</t>
  </si>
  <si>
    <t>robin.mutschler@empa.ch</t>
  </si>
  <si>
    <t>Relevant datasets</t>
  </si>
  <si>
    <t>Description</t>
  </si>
  <si>
    <t>Link</t>
  </si>
  <si>
    <t>IEA</t>
  </si>
  <si>
    <t>ETP Clean Energy Technology Guide is an interactive framework that contains information for nearly 600 individual technology designs and components across the whole energy system</t>
  </si>
  <si>
    <t>ETP Clean Energy Technology Guide – Data Tools - IEA</t>
  </si>
  <si>
    <t>Danish Energy Agency</t>
  </si>
  <si>
    <t>Extensive and high quality technology descriptions</t>
  </si>
  <si>
    <t xml:space="preserve">https://ens.dk/en/analyses-and-statistics </t>
  </si>
  <si>
    <t>European Commission</t>
  </si>
  <si>
    <t>JRC-EU-TIMES Full model  dataset</t>
  </si>
  <si>
    <t>https://data.jrc.ec.europa.eu/dataset/8141a398-41a8-42fa-81a4-5b825a51761b</t>
  </si>
  <si>
    <t>SWEET</t>
  </si>
  <si>
    <t>energy tech data</t>
  </si>
  <si>
    <t>https://sweet-cross.ch/data/energy-tech-parameters/2024-02-27/</t>
  </si>
  <si>
    <t>Preliminary work</t>
  </si>
  <si>
    <t>Preliminary classification &amp; parameterization work by Robin &amp; Cristina</t>
  </si>
  <si>
    <t xml:space="preserve">https://docs.google.com/presentation/d/1oeQVAHrxMZgUv_lBlpRWjX9dcrnxatpXH_WOpPOPivE/edit?usp=sharing </t>
  </si>
  <si>
    <t>Technology representation</t>
  </si>
  <si>
    <t>Preliminary work to define the boundary condition of a technology</t>
  </si>
  <si>
    <t>https://docs.google.com/presentation/d/1Js4_w0kzhL3zGCj_5YsGCvKfnxXCUHVAVOwmXP_sHO0/edit#slide=id.g24c4e5253f6_0_5</t>
  </si>
  <si>
    <t>Energieperspektiven BFE</t>
  </si>
  <si>
    <t>xkurs Negativemissionstechnologien und CCS</t>
  </si>
  <si>
    <t>https://www.bfe.admin.ch/bfe/fr/home/politik/energieperspektiven-2050-plus.exturl.html/aHR0cHM6Ly9wdWJkYi5iZmUuYWRtaW4uY2gvZGUvcHVibGljYX/Rpb24vZG93bmxvYWQvMTA2MjA=.html</t>
  </si>
  <si>
    <t>Energieperspektiven alle Reports</t>
  </si>
  <si>
    <t>https://www.bfe.admin.ch/bfe/de/home/politik/energieperspektiven-2050-plus.html</t>
  </si>
  <si>
    <t>Energiestatistik BFE</t>
  </si>
  <si>
    <t>https://www.bfe.admin.ch/bfe/de/home/versorgung/statistik-und-geodaten/energiestatistiken/gesamtenergiestatistik.html</t>
  </si>
  <si>
    <t>VSE Studies</t>
  </si>
  <si>
    <t>Important reference for the Empa Swiss model</t>
  </si>
  <si>
    <t>https://www.strom.ch/de/energiezukunft-2050/download</t>
  </si>
  <si>
    <t>about database</t>
  </si>
  <si>
    <t>this Excel file is the collaborative document to contribute the data for reFuel.ch</t>
  </si>
  <si>
    <t>the cleaned data will be store in another format (e.g. csv, JSON)</t>
  </si>
  <si>
    <t>Energy-X path representation</t>
  </si>
  <si>
    <t>Empa's preliminary path representation</t>
  </si>
  <si>
    <t>https://miro.com/app/board/uXjVOAn1i64=/</t>
  </si>
  <si>
    <t>Previous VSE technology data collection</t>
  </si>
  <si>
    <t>The Google Sheet with previous VSE data</t>
  </si>
  <si>
    <t>https://docs.google.com/spreadsheets/d/1eQCuOR8Kq5_W_c7xZtdGj87lEK-D1_rSEdts_J6jZLs/edit?gid=369202019#gid=369202019</t>
  </si>
  <si>
    <t>FAIR principle:</t>
  </si>
  <si>
    <t>Findable</t>
  </si>
  <si>
    <t>Accessible</t>
  </si>
  <si>
    <t>Interoperable</t>
  </si>
  <si>
    <t>are the assumptions and definitions clear?</t>
  </si>
  <si>
    <t>Reusable</t>
  </si>
  <si>
    <t>Can the data be exported in other formats?</t>
  </si>
  <si>
    <t>NOTE</t>
  </si>
  <si>
    <t>seperate "data" and "information"</t>
  </si>
  <si>
    <t>Other guidelines</t>
  </si>
  <si>
    <t>Clear define each parameter and terminology and reference it</t>
  </si>
  <si>
    <t>Provide key info about the data (e.g. assumption, reference, boundary conditions…)</t>
  </si>
  <si>
    <t>Clean and structured data that can be read by the machine</t>
  </si>
  <si>
    <t>Adding reference</t>
  </si>
  <si>
    <t>if the reference do not have a DOI, you can upload a BibTex file, using following steps:
1. add reference in a reference management tool (e.g. Zetero)
2. select "Export item" with format "BibTex"
3. change the file name the same as reference ID in the Reference sheet.
4. upload the file to reFuel.ch WP3 teams folder (see link on the right)</t>
  </si>
  <si>
    <t>folder for BibTex files</t>
  </si>
  <si>
    <t>NOTE:</t>
  </si>
  <si>
    <t>download a copy of reference from report, in case it is not available later</t>
  </si>
  <si>
    <t>TODO [2026-01-23]</t>
  </si>
  <si>
    <t>align Ch4 and CH4</t>
  </si>
  <si>
    <t xml:space="preserve">clean the second column name in row 4 in ConvTech, remove 'unit' </t>
  </si>
  <si>
    <t>check the one_time_opex for in ConvTech</t>
  </si>
  <si>
    <t>do we really need 'main input', if the main input is always with ratio 1?</t>
  </si>
  <si>
    <t>Sheet Name</t>
  </si>
  <si>
    <t>Column header</t>
  </si>
  <si>
    <t>Mapping header</t>
  </si>
  <si>
    <t>Unit / Format</t>
  </si>
  <si>
    <t>ehubX name</t>
  </si>
  <si>
    <t>Ontology IRI</t>
  </si>
  <si>
    <t>Note</t>
  </si>
  <si>
    <t>ConvTech</t>
  </si>
  <si>
    <t>ehubX Tech ID</t>
  </si>
  <si>
    <t>ehubX technology ID</t>
  </si>
  <si>
    <t>tech_id</t>
  </si>
  <si>
    <t>Internationalized Resource Identifier (IRI) of an ontology</t>
  </si>
  <si>
    <t>Tech Ontology IRI</t>
  </si>
  <si>
    <t>High level process type? TBD</t>
  </si>
  <si>
    <t>provide additional information about the process (e.g. SOFC, Alkaline, PEM…)</t>
  </si>
  <si>
    <t>Process Type</t>
  </si>
  <si>
    <t>Description of the technology</t>
  </si>
  <si>
    <t>Main Sector</t>
  </si>
  <si>
    <t>The main sector (based on what?) of the technology, see "Predefined" sheet</t>
  </si>
  <si>
    <t>not clera what serctor/category/group refer to</t>
  </si>
  <si>
    <t>Main Category</t>
  </si>
  <si>
    <t>The main category (based on what?) of the technology, see "Predefined" sheet</t>
  </si>
  <si>
    <t>Category Specification</t>
  </si>
  <si>
    <t>Subcategory of the technology, based on technology details</t>
  </si>
  <si>
    <t>Tech Type</t>
  </si>
  <si>
    <t>High-level technology type (based on what?)</t>
  </si>
  <si>
    <t>different then ehubX type</t>
  </si>
  <si>
    <t>Reference Unit Size</t>
  </si>
  <si>
    <t>The tech-econo data is based on this reference capacity (e.g.10 MW)</t>
  </si>
  <si>
    <t>one unit size, another for the unit of capacity (kW or kg/yr)?</t>
  </si>
  <si>
    <t>Technology Year</t>
  </si>
  <si>
    <t>The year that the technology is available and the tech-econo data are based on</t>
  </si>
  <si>
    <t>Cost Base</t>
  </si>
  <si>
    <t>The location/region that the cost parameters are based on (e.g. CH or Europe)</t>
  </si>
  <si>
    <t>specific for location?</t>
  </si>
  <si>
    <t>Currency</t>
  </si>
  <si>
    <t>The currency of the cost parameter</t>
  </si>
  <si>
    <t>move to economic?</t>
  </si>
  <si>
    <t>Data Reference Year</t>
  </si>
  <si>
    <t>The year that the technology data are evaluated on (e.g. a technology is evaluted in 2020)</t>
  </si>
  <si>
    <t>change to 'Data Reference Year' to reflect that only cost but other data are evaluated</t>
  </si>
  <si>
    <t>Technology Readiness Level</t>
  </si>
  <si>
    <t>The technology readiness level, scale 1 to 9</t>
  </si>
  <si>
    <t>Technology Maturity Evaluation</t>
  </si>
  <si>
    <t>How maturity is a technology, see "Predefined" sheet</t>
  </si>
  <si>
    <t>trl</t>
  </si>
  <si>
    <t>Technology Boundary</t>
  </si>
  <si>
    <t>The boundary of the technololgy (e.g. core componen, full system ready for operation?), TBD</t>
  </si>
  <si>
    <t>need to be defined?</t>
  </si>
  <si>
    <t>Tech Drawing Added?</t>
  </si>
  <si>
    <t>Overall Efficiency</t>
  </si>
  <si>
    <t>The overall efficiency based on the specific inputs and outputs</t>
  </si>
  <si>
    <t>Input, Output for Overall Efficiency</t>
  </si>
  <si>
    <t>The inputs and outputs for overall efficiency calculation</t>
  </si>
  <si>
    <t>Input Carriers</t>
  </si>
  <si>
    <t>The list of input carriers of the technology/process</t>
  </si>
  <si>
    <t>in_ecs</t>
  </si>
  <si>
    <t>Main Input Carrier</t>
  </si>
  <si>
    <t>In case multiple inputs are present, the main input has to be defined. The output efficiency is relative to the main input</t>
  </si>
  <si>
    <t>Input Shares</t>
  </si>
  <si>
    <t>The share of input energy/mass for each carrier</t>
  </si>
  <si>
    <t>Input Units</t>
  </si>
  <si>
    <t>The unit of the input shares</t>
  </si>
  <si>
    <t>Output Carriers</t>
  </si>
  <si>
    <t>The list of output carriers of the technology/process</t>
  </si>
  <si>
    <t>out_ecs</t>
  </si>
  <si>
    <t>Main Output Carrier</t>
  </si>
  <si>
    <t>Relevant to dimension the plant / tech</t>
  </si>
  <si>
    <t>main_out_ec</t>
  </si>
  <si>
    <t>Output Shares</t>
  </si>
  <si>
    <t>The share of output energy/mass for each carrier</t>
  </si>
  <si>
    <t>Output Units</t>
  </si>
  <si>
    <t>The unit of the output shares</t>
  </si>
  <si>
    <t>Minimum Installation</t>
  </si>
  <si>
    <t>The minimumal installation capacity</t>
  </si>
  <si>
    <t>unit_cap_min</t>
  </si>
  <si>
    <t>Economic Lifetime</t>
  </si>
  <si>
    <t>The system lifetime for tech-econo assessment</t>
  </si>
  <si>
    <t>lifetime</t>
  </si>
  <si>
    <t>CAPEX One Time</t>
  </si>
  <si>
    <t>The fixed Capex independent from the capacity (e.g. project planning, adminstration...)</t>
  </si>
  <si>
    <t>one_time_capex</t>
  </si>
  <si>
    <t>CAPEX Power Capacity</t>
  </si>
  <si>
    <t>The Capex depends on the capacity</t>
  </si>
  <si>
    <t>capex_per_cap</t>
  </si>
  <si>
    <t>OPEX One Time</t>
  </si>
  <si>
    <t>The fixed Opex independent from the capacity (e.g. license, management)</t>
  </si>
  <si>
    <t>one_time_opex</t>
  </si>
  <si>
    <t>is it one-time (CHF) or fixed (CHF/yr)?</t>
  </si>
  <si>
    <t>OPEX Power Capacity as percentage of CAPEX</t>
  </si>
  <si>
    <t>The percentage to estimate Opex based on the CAPEX (e.g. Opex CHF/yr is 4% of Capex)</t>
  </si>
  <si>
    <t>OPEX Power Capacity</t>
  </si>
  <si>
    <t>The Opex based on the power capacity of the system</t>
  </si>
  <si>
    <t>opex_per_cap</t>
  </si>
  <si>
    <t>OPEX Energy</t>
  </si>
  <si>
    <t>The Opex based on the annual energy production of the system</t>
  </si>
  <si>
    <t>opex_per_energy</t>
  </si>
  <si>
    <t>Discount Rate</t>
  </si>
  <si>
    <t>The discoiunt rate to estimate the levelised costs of the technology</t>
  </si>
  <si>
    <t>interest_rate</t>
  </si>
  <si>
    <t>Value Range Check</t>
  </si>
  <si>
    <t>If the technology has a value range</t>
  </si>
  <si>
    <t>Uncertainty Rating</t>
  </si>
  <si>
    <t>The rating of uncertainty level for tech-econo parameters</t>
  </si>
  <si>
    <t>LCA ID</t>
  </si>
  <si>
    <t>The ID of LCA (from PSI Premise model)</t>
  </si>
  <si>
    <t>LCA unit</t>
  </si>
  <si>
    <t>The LCA unit (e.g. kW, t/h) of the value of embedded carbon</t>
  </si>
  <si>
    <t>co2_per_cap</t>
  </si>
  <si>
    <t>http://openenergy-platform.org/ontology/oeo/OEO_00000148</t>
  </si>
  <si>
    <t>need to check unit when put in the ehubX</t>
  </si>
  <si>
    <t>Embedded Carbon</t>
  </si>
  <si>
    <t>The value of embedded carbon (from PSI Premise model)</t>
  </si>
  <si>
    <t>LCA Scenario</t>
  </si>
  <si>
    <t>The LCA scenario (from PSI Premise model)</t>
  </si>
  <si>
    <t>References</t>
  </si>
  <si>
    <t>The information of reference of the data</t>
  </si>
  <si>
    <t>Review Comment</t>
  </si>
  <si>
    <t>Status (VSE 2025)</t>
  </si>
  <si>
    <t>Not in ConvTech</t>
  </si>
  <si>
    <t>Not in StorTech Sheet</t>
  </si>
  <si>
    <t>Both</t>
  </si>
  <si>
    <t>StorTech</t>
  </si>
  <si>
    <t>ehubX tech ID</t>
  </si>
  <si>
    <t>sto_ec</t>
  </si>
  <si>
    <t>Storage Carrier</t>
  </si>
  <si>
    <t>charge_max</t>
  </si>
  <si>
    <t>discharge_max</t>
  </si>
  <si>
    <t>Charging Capacity Factor</t>
  </si>
  <si>
    <t>in_eff</t>
  </si>
  <si>
    <t>Discharging Capacity Factor</t>
  </si>
  <si>
    <t>out_eff</t>
  </si>
  <si>
    <t>Charging Efficiency</t>
  </si>
  <si>
    <t>soc_min</t>
  </si>
  <si>
    <t>Discharging Efficiency</t>
  </si>
  <si>
    <t>soc_max</t>
  </si>
  <si>
    <t>Minimum SOC</t>
  </si>
  <si>
    <t>standby_loss</t>
  </si>
  <si>
    <t>Maximum SOC</t>
  </si>
  <si>
    <t>Standby Loss</t>
  </si>
  <si>
    <t>CAPEX Storage Capacity</t>
  </si>
  <si>
    <t>OPEX Storage Capacity</t>
  </si>
  <si>
    <t>LCA Unit</t>
  </si>
  <si>
    <t>SolarTech</t>
  </si>
  <si>
    <t>Process</t>
  </si>
  <si>
    <t>type</t>
  </si>
  <si>
    <t>Tech drawing added?</t>
  </si>
  <si>
    <t>curtail_max_rel</t>
  </si>
  <si>
    <t>Output Unit</t>
  </si>
  <si>
    <t>Maximum Curtailment Fraction</t>
  </si>
  <si>
    <t>OPEX Power Capacity as Percentage of CAPEX</t>
  </si>
  <si>
    <t>OPEX Output</t>
  </si>
  <si>
    <t>ehubX tech type</t>
  </si>
  <si>
    <t xml:space="preserve">ehubX tech subtype </t>
  </si>
  <si>
    <t>Sheet name</t>
  </si>
  <si>
    <t>Values</t>
  </si>
  <si>
    <t>process_type</t>
  </si>
  <si>
    <t>Carbon Black Production</t>
  </si>
  <si>
    <t>CO2 capture</t>
  </si>
  <si>
    <t>CO2 transport</t>
  </si>
  <si>
    <t>Digestion</t>
  </si>
  <si>
    <t>Electricity production / Hydrogen use</t>
  </si>
  <si>
    <t>Electrochemical CO2 reduction</t>
  </si>
  <si>
    <t>Electrolysis</t>
  </si>
  <si>
    <t>Eletricity Transmission</t>
  </si>
  <si>
    <t>Fischer Tropsch</t>
  </si>
  <si>
    <t>Gas Boiler</t>
  </si>
  <si>
    <t>Gas Turbine</t>
  </si>
  <si>
    <t>Haberbosch</t>
  </si>
  <si>
    <t>Heat and Electricity generation</t>
  </si>
  <si>
    <t>Heat generation</t>
  </si>
  <si>
    <t>Heat transfer</t>
  </si>
  <si>
    <t>Hydro</t>
  </si>
  <si>
    <t>Hydrogen production</t>
  </si>
  <si>
    <t>Hydrogen production / Electricity use</t>
  </si>
  <si>
    <t>Methane synthesis</t>
  </si>
  <si>
    <t>Methanol production</t>
  </si>
  <si>
    <t>Pyrolisis</t>
  </si>
  <si>
    <t>Reverse water gas shift</t>
  </si>
  <si>
    <t>Syngas production</t>
  </si>
  <si>
    <t>Thermal Powerplant</t>
  </si>
  <si>
    <t>Thermochemical CO Hydrogenation</t>
  </si>
  <si>
    <t>Water turbine</t>
  </si>
  <si>
    <t>Wind turbine</t>
  </si>
  <si>
    <t>main_sector</t>
  </si>
  <si>
    <t>Ammonia</t>
  </si>
  <si>
    <t>Carbon Black</t>
  </si>
  <si>
    <t>Carbon Capture</t>
  </si>
  <si>
    <t>Carbon Monoxide</t>
  </si>
  <si>
    <t>Electricity</t>
  </si>
  <si>
    <t>Electricity / Hydrogen</t>
  </si>
  <si>
    <t>Hydrogen</t>
  </si>
  <si>
    <t>Hydrogen / Electricity</t>
  </si>
  <si>
    <t>Methane</t>
  </si>
  <si>
    <t>Methanol</t>
  </si>
  <si>
    <t>na</t>
  </si>
  <si>
    <t>Synfuels</t>
  </si>
  <si>
    <t>Syngas</t>
  </si>
  <si>
    <t>Thermal</t>
  </si>
  <si>
    <t>main_category</t>
  </si>
  <si>
    <t>Building</t>
  </si>
  <si>
    <t>DAC</t>
  </si>
  <si>
    <t>Electrochemical</t>
  </si>
  <si>
    <t>Fuelcell</t>
  </si>
  <si>
    <t>Gasification</t>
  </si>
  <si>
    <t>Grid</t>
  </si>
  <si>
    <t>Grid / Hydrogen</t>
  </si>
  <si>
    <t>Hydrocarbons</t>
  </si>
  <si>
    <t>Hydrogenation</t>
  </si>
  <si>
    <t>New Renewable</t>
  </si>
  <si>
    <t>NonPipeline</t>
  </si>
  <si>
    <t>Nuclear</t>
  </si>
  <si>
    <t>Pipeline</t>
  </si>
  <si>
    <t>Point source capture</t>
  </si>
  <si>
    <t>Pyrolysis</t>
  </si>
  <si>
    <t>Thermochemical</t>
  </si>
  <si>
    <t>Waste</t>
  </si>
  <si>
    <t>category_spec</t>
  </si>
  <si>
    <t>Adsorption</t>
  </si>
  <si>
    <t>Amine washing</t>
  </si>
  <si>
    <t>CO hydrogenation</t>
  </si>
  <si>
    <t>CO2 hydrogenation</t>
  </si>
  <si>
    <t>Distribution</t>
  </si>
  <si>
    <t>Gasoline</t>
  </si>
  <si>
    <t>HPC cycling</t>
  </si>
  <si>
    <t>Kerosine</t>
  </si>
  <si>
    <t>Mustrun Turbine</t>
  </si>
  <si>
    <t>Oil</t>
  </si>
  <si>
    <t>PV</t>
  </si>
  <si>
    <t>RWGS</t>
  </si>
  <si>
    <t>Transmission</t>
  </si>
  <si>
    <t>Wet Biomass</t>
  </si>
  <si>
    <t>Wind</t>
  </si>
  <si>
    <t>Wood</t>
  </si>
  <si>
    <t>tech_type</t>
  </si>
  <si>
    <t>Conversion</t>
  </si>
  <si>
    <t>Tranport</t>
  </si>
  <si>
    <t>tech_boundary</t>
  </si>
  <si>
    <t>Component</t>
  </si>
  <si>
    <t>Partial System</t>
  </si>
  <si>
    <t>Full System</t>
  </si>
  <si>
    <t>lca_scenario</t>
  </si>
  <si>
    <t>SSP2-PkBudg1150_2025</t>
  </si>
  <si>
    <t>SSP2-PkBudg1150_2040</t>
  </si>
  <si>
    <t>SSP2-PkBudg1150_2030</t>
  </si>
  <si>
    <t>SSP2-PkBudg1150_2050</t>
  </si>
  <si>
    <t>tech_maturity</t>
  </si>
  <si>
    <t>Mature</t>
  </si>
  <si>
    <t>see Sheet "TechMaturity"</t>
  </si>
  <si>
    <t>Emerging</t>
  </si>
  <si>
    <t>Prototype</t>
  </si>
  <si>
    <t>Unique value count</t>
  </si>
  <si>
    <t>Unique values</t>
  </si>
  <si>
    <t>Name</t>
  </si>
  <si>
    <t>LHV</t>
  </si>
  <si>
    <t>Low Heating Value</t>
  </si>
  <si>
    <t>HHV</t>
  </si>
  <si>
    <t>High Heating Value</t>
  </si>
  <si>
    <t>Carrier Abbreviation</t>
  </si>
  <si>
    <t>Carrier description</t>
  </si>
  <si>
    <t>Carrier Type</t>
  </si>
  <si>
    <t>Carrier Category</t>
  </si>
  <si>
    <t>Base Carrier</t>
  </si>
  <si>
    <t>Color Code (HEX)</t>
  </si>
  <si>
    <t>Reference</t>
  </si>
  <si>
    <t>Biomass</t>
  </si>
  <si>
    <t>Woody &amp; dry biomass</t>
  </si>
  <si>
    <t>Energy</t>
  </si>
  <si>
    <t>Bioenergy</t>
  </si>
  <si>
    <t>ehubX carrier</t>
  </si>
  <si>
    <t>BioWet</t>
  </si>
  <si>
    <t>Wet biomass</t>
  </si>
  <si>
    <t>Energy Wood</t>
  </si>
  <si>
    <t>WoodCh</t>
  </si>
  <si>
    <t>Energy Wood from Switzerland</t>
  </si>
  <si>
    <t>WoodEu</t>
  </si>
  <si>
    <t>Energy Wood from Europe</t>
  </si>
  <si>
    <t>El13</t>
  </si>
  <si>
    <t>Electricity grid level 1 to 3 (Swissgrid definition of grid levels 380kV - 220kV)</t>
  </si>
  <si>
    <t>El</t>
  </si>
  <si>
    <t>https://www.swissgrid.ch/en/home/operation/power-grid/grid-levels.html</t>
  </si>
  <si>
    <t>ElDsr</t>
  </si>
  <si>
    <t>Electricity associated with Demand Side Response</t>
  </si>
  <si>
    <t>El47</t>
  </si>
  <si>
    <t>Electricity grid level 4 to 7 (Swissgrid definition of grid levels 1kV - 36kV)</t>
  </si>
  <si>
    <t>ElBdg</t>
  </si>
  <si>
    <t>Behind the meter electricity in buildings</t>
  </si>
  <si>
    <t>ElPvAlpin</t>
  </si>
  <si>
    <t>Electricity from alpine PV</t>
  </si>
  <si>
    <t>ElRest</t>
  </si>
  <si>
    <t>Behind the meter electricity at non-residential buildings and sites</t>
  </si>
  <si>
    <t>ElWind</t>
  </si>
  <si>
    <t>Electricity generated from wind turbines</t>
  </si>
  <si>
    <t>ElExp</t>
  </si>
  <si>
    <t>Exported electricity (Grid level 1 to 3)</t>
  </si>
  <si>
    <t>Ch4</t>
  </si>
  <si>
    <t>Chemical fuel</t>
  </si>
  <si>
    <t>Ch4BioCh</t>
  </si>
  <si>
    <t>Biogas (Methane) sourced in CH</t>
  </si>
  <si>
    <t>Ch4SynEu</t>
  </si>
  <si>
    <t>Biogas (Methane) imported from the EU</t>
  </si>
  <si>
    <t>C8</t>
  </si>
  <si>
    <t>Hydrocarbon fuels with 8 carbon atoms (representing gasoline)</t>
  </si>
  <si>
    <t>C12</t>
  </si>
  <si>
    <t>Hydrocarbon fuel with 12 carbon atoms (representing diesel)</t>
  </si>
  <si>
    <t>C12Syn</t>
  </si>
  <si>
    <t xml:space="preserve">Hydrocarbon fuel with 12 carbon atoms (representing diesel). Synthesized. </t>
  </si>
  <si>
    <t>C12Av</t>
  </si>
  <si>
    <t xml:space="preserve">Hydrocarbon fuel with 12 carbon atoms (representing aviation fuels). </t>
  </si>
  <si>
    <t>CBio</t>
  </si>
  <si>
    <t>Biochar (Carbon from biomass)</t>
  </si>
  <si>
    <t>Material</t>
  </si>
  <si>
    <t>C</t>
  </si>
  <si>
    <t>CO2</t>
  </si>
  <si>
    <t>Carbon Dioxide</t>
  </si>
  <si>
    <t>CO2Sys</t>
  </si>
  <si>
    <t>Carbon Dioxide as a ressource in the energy system</t>
  </si>
  <si>
    <t>CO2Waste</t>
  </si>
  <si>
    <t>Carbon dioxide in the exhaust of  waste incineration plants</t>
  </si>
  <si>
    <t>CO2Wood</t>
  </si>
  <si>
    <t>Carbon dioxide in the exhaust of wood fired powerplants</t>
  </si>
  <si>
    <t>CO2Exp</t>
  </si>
  <si>
    <t>Physically exported Carbon Dioxide</t>
  </si>
  <si>
    <t>CO2Fluegas</t>
  </si>
  <si>
    <t>Carbon Dioxide from flue gas</t>
  </si>
  <si>
    <t>O2</t>
  </si>
  <si>
    <t>Oxygen</t>
  </si>
  <si>
    <t>H2</t>
  </si>
  <si>
    <t>H2BlueEu</t>
  </si>
  <si>
    <t>Blue hydrogen (produced with carbon capture) imported from the EU</t>
  </si>
  <si>
    <t>H2GreenEu</t>
  </si>
  <si>
    <t>Green hydrogen (produced from renewables) imported from the EU</t>
  </si>
  <si>
    <t>H2Process</t>
  </si>
  <si>
    <t>Process Hydrogen (mixed with CO in syngas)</t>
  </si>
  <si>
    <t>HydroPumped</t>
  </si>
  <si>
    <t>Pumped Hydro</t>
  </si>
  <si>
    <t>HydroRor</t>
  </si>
  <si>
    <t>Run-of-River Hydro</t>
  </si>
  <si>
    <t>HydroS</t>
  </si>
  <si>
    <t>Hydro Storage</t>
  </si>
  <si>
    <t>HydroSMustrun</t>
  </si>
  <si>
    <t>Hydro Storage, Must-run fraction</t>
  </si>
  <si>
    <t>MeOH</t>
  </si>
  <si>
    <t>Methano</t>
  </si>
  <si>
    <t>Msw</t>
  </si>
  <si>
    <t>Municipal Solid Waste</t>
  </si>
  <si>
    <t>MswPh</t>
  </si>
  <si>
    <t>Solid Waste Utilized for Process Heat</t>
  </si>
  <si>
    <t>CO</t>
  </si>
  <si>
    <t>COSys</t>
  </si>
  <si>
    <t>Carbon Monooxide as a ressource in the energy system</t>
  </si>
  <si>
    <t>ThBdg</t>
  </si>
  <si>
    <t>Thermal energy in buildings (space heating and domestic hot water)</t>
  </si>
  <si>
    <t>Th</t>
  </si>
  <si>
    <t>ThAmb</t>
  </si>
  <si>
    <t>Ambient heat (0-20°C)</t>
  </si>
  <si>
    <t>ThDh</t>
  </si>
  <si>
    <t>District heating (to be refined)</t>
  </si>
  <si>
    <t>ThDhw</t>
  </si>
  <si>
    <t>Domestic hot water (ThHt, 60-120°C)</t>
  </si>
  <si>
    <t>ThGround</t>
  </si>
  <si>
    <t>Geothermal heat (ThAmb, 0-20°C)</t>
  </si>
  <si>
    <t>ThHt</t>
  </si>
  <si>
    <t>High-temperature heat (60-120°C)</t>
  </si>
  <si>
    <t>ThLt</t>
  </si>
  <si>
    <t>Low-temperature heat (20-60°C)</t>
  </si>
  <si>
    <t>ThPhI</t>
  </si>
  <si>
    <t>Process Heat, Steam (120-200°C)</t>
  </si>
  <si>
    <t>ThPhII</t>
  </si>
  <si>
    <t>Process Heat (above 200°C)</t>
  </si>
  <si>
    <t>ThSc</t>
  </si>
  <si>
    <t>Space cooling (ThAmb, 0-20°C)</t>
  </si>
  <si>
    <t>ThSh</t>
  </si>
  <si>
    <t>Space heating for buildings (ThHt, 60-120°C)</t>
  </si>
  <si>
    <t>U235</t>
  </si>
  <si>
    <t>Nuclear fuel</t>
  </si>
  <si>
    <t>ThPh</t>
  </si>
  <si>
    <t>to de define!</t>
  </si>
  <si>
    <t>Csw</t>
  </si>
  <si>
    <t>N2</t>
  </si>
  <si>
    <t>Nitrogen</t>
  </si>
  <si>
    <t>NaturalGas</t>
  </si>
  <si>
    <t>Natural gas</t>
  </si>
  <si>
    <t>NH3</t>
  </si>
  <si>
    <t>Amonia</t>
  </si>
  <si>
    <t>Location Abbreviation</t>
  </si>
  <si>
    <t>Location Description</t>
  </si>
  <si>
    <t>CH</t>
  </si>
  <si>
    <t>Switzerland</t>
  </si>
  <si>
    <t>ECA</t>
  </si>
  <si>
    <t>Europe and Central Asia</t>
  </si>
  <si>
    <t>https://ourworldindata.org/grapher/world-regions-according-to-the-world-bank</t>
  </si>
  <si>
    <t>NAC</t>
  </si>
  <si>
    <t>North America</t>
  </si>
  <si>
    <t>SAR</t>
  </si>
  <si>
    <t>South Asia</t>
  </si>
  <si>
    <t>MENA</t>
  </si>
  <si>
    <t>Middle East and North Africa</t>
  </si>
  <si>
    <t>SSA</t>
  </si>
  <si>
    <t>Sub-Saharan Africa</t>
  </si>
  <si>
    <t>EAP</t>
  </si>
  <si>
    <t>East Asia and Pacific</t>
  </si>
  <si>
    <t>Currency Name</t>
  </si>
  <si>
    <t>Currency Description</t>
  </si>
  <si>
    <t>Symbol</t>
  </si>
  <si>
    <t>Assumption</t>
  </si>
  <si>
    <t>CHF</t>
  </si>
  <si>
    <t>Swiss franc</t>
  </si>
  <si>
    <t>Fr.</t>
  </si>
  <si>
    <t>USE</t>
  </si>
  <si>
    <t>United States dollar</t>
  </si>
  <si>
    <t>$</t>
  </si>
  <si>
    <t>EUR</t>
  </si>
  <si>
    <t>Euro</t>
  </si>
  <si>
    <t>€</t>
  </si>
  <si>
    <t>Process ID</t>
  </si>
  <si>
    <t>Process Description</t>
  </si>
  <si>
    <t>Process Category</t>
  </si>
  <si>
    <t>Primay Feedstock</t>
  </si>
  <si>
    <t>Feedstocks</t>
  </si>
  <si>
    <t>Products</t>
  </si>
  <si>
    <t>electrolysis_water</t>
  </si>
  <si>
    <t>Electrolysis, water</t>
  </si>
  <si>
    <t>H2O, Electricity</t>
  </si>
  <si>
    <t>biomass_gasification_to_syngas</t>
  </si>
  <si>
    <t>Biomass gasification to syngas</t>
  </si>
  <si>
    <t>Wood, O2</t>
  </si>
  <si>
    <t>msw_gasification_to_syngas</t>
  </si>
  <si>
    <t>Municipal solid waste gasification to syngas</t>
  </si>
  <si>
    <t>MSW</t>
  </si>
  <si>
    <t>wet_biomass_anaerobic_digestion_gas_separation</t>
  </si>
  <si>
    <t>Wet biomass anaerobic digestion with gas separation</t>
  </si>
  <si>
    <t>CH4, CO2</t>
  </si>
  <si>
    <t>methane_synthesis_h2_co2_sabatier</t>
  </si>
  <si>
    <t>Methane synthesis from H2 and CO2 via the thermo catalytic Sabatier reaction</t>
  </si>
  <si>
    <t>H2, CO2</t>
  </si>
  <si>
    <t>CH4, H2O, heat</t>
  </si>
  <si>
    <t>methane_synthesis_syngas_sabatier</t>
  </si>
  <si>
    <t>Methane synthesis from Syngas via the thermo catalytic Sabatier reaction</t>
  </si>
  <si>
    <t>H2, CO</t>
  </si>
  <si>
    <t>reverse_water_gas_shift_reaction</t>
  </si>
  <si>
    <t>Reverse water gas shift reaction plant</t>
  </si>
  <si>
    <t>Reverse Water Gas Shift Reaction</t>
  </si>
  <si>
    <t>CarbonMonoxide</t>
  </si>
  <si>
    <t>H2, CO2, heat</t>
  </si>
  <si>
    <t>methane_synthesis_biomass</t>
  </si>
  <si>
    <t xml:space="preserve">Biological methaniation </t>
  </si>
  <si>
    <t>paper_müller_PowerX_2025</t>
  </si>
  <si>
    <t>methane_synthesis_archea</t>
  </si>
  <si>
    <t>Bioelectrochemical CO2 hydrogenation via methanogenic archea</t>
  </si>
  <si>
    <t>co2_direct_reaction</t>
  </si>
  <si>
    <t>CO2 reduction at electrode surface</t>
  </si>
  <si>
    <t>CO2, H20, Electricity</t>
  </si>
  <si>
    <t>co_electrolysis</t>
  </si>
  <si>
    <t>High temperature co-electrolysis of CO2 and H2O</t>
  </si>
  <si>
    <t>Co2</t>
  </si>
  <si>
    <t>CO2, H2O, Electricity, heat</t>
  </si>
  <si>
    <t>CO, H2O, O2</t>
  </si>
  <si>
    <t>Elec_El13_El47</t>
  </si>
  <si>
    <t>Electricity network between El13 and El47</t>
  </si>
  <si>
    <t>Network</t>
  </si>
  <si>
    <t>Electricity Transport</t>
  </si>
  <si>
    <t>electricity</t>
  </si>
  <si>
    <t>Elec_El47_El13</t>
  </si>
  <si>
    <t>Coupled electricity network between El47 and El13.</t>
  </si>
  <si>
    <t>Elec_El47_ElBdg</t>
  </si>
  <si>
    <t>Electricity network connection between El47 and buildings.</t>
  </si>
  <si>
    <t>Elec_ElBdg_El47</t>
  </si>
  <si>
    <t>Coupled electricity network between buildings and El47.</t>
  </si>
  <si>
    <t>Elec_El47_ElRest</t>
  </si>
  <si>
    <t>Electricity network connection between El47 and other electricity nodes.</t>
  </si>
  <si>
    <t>Elec_ElRest_El47</t>
  </si>
  <si>
    <t>Coupled electricity network between other electricity nodes and El47.</t>
  </si>
  <si>
    <t>Elec_Nuclear_U235_El13</t>
  </si>
  <si>
    <t>Electricity generation from nuclear power (U235) at node El13.</t>
  </si>
  <si>
    <t>Fission</t>
  </si>
  <si>
    <t>Elec_Msw_Incinerator</t>
  </si>
  <si>
    <t>Electricity generation from municipal solid waste (MSW) incineration.</t>
  </si>
  <si>
    <t>Municipal solid waste</t>
  </si>
  <si>
    <t>Elec_H2_Ccgt</t>
  </si>
  <si>
    <t>Hydrogen-fueled combined cycle gas turbine (CCGT) electricity generation).</t>
  </si>
  <si>
    <t>Electricity Generation</t>
  </si>
  <si>
    <t>Elec_H2_Ocgt</t>
  </si>
  <si>
    <t>Hydrogen-fueled open cycle gas turbine (OCGT) electricity generation.</t>
  </si>
  <si>
    <t>Elec_Ch4_Chp</t>
  </si>
  <si>
    <t>Combined heat and power (CHP) generation using methane (CH₄).</t>
  </si>
  <si>
    <t>CH4</t>
  </si>
  <si>
    <t>heat, electricity</t>
  </si>
  <si>
    <t>Elec_Ch4_Ocgt</t>
  </si>
  <si>
    <t>Methane-fueled open cycle gas turbine (OCGT) electricity generation.</t>
  </si>
  <si>
    <t>Elec_Ch4_Ccgt</t>
  </si>
  <si>
    <t>Methane-fueled CCGT with carbon capture and storage (CCS).</t>
  </si>
  <si>
    <t>Elec_Ch4_CcgtCcs</t>
  </si>
  <si>
    <t>Elec_Wood_Chp</t>
  </si>
  <si>
    <t>Combined heat and power (CHP) generation using wood.</t>
  </si>
  <si>
    <t>CHP Generation</t>
  </si>
  <si>
    <t>Elec_Geothermal_Chp</t>
  </si>
  <si>
    <t>Geothermal-based CHP generation (2040).</t>
  </si>
  <si>
    <t>heat (geothermal)</t>
  </si>
  <si>
    <t>Elec_Fuelcell_El47</t>
  </si>
  <si>
    <t>Electricity generation via fuel cells at node El47.</t>
  </si>
  <si>
    <t>Elec_FuelcellCh4_El47</t>
  </si>
  <si>
    <t>Methane-fueled fuel cell electricity generation at El47.</t>
  </si>
  <si>
    <t>Hydro_HydroRor_Plant</t>
  </si>
  <si>
    <t>Run-of-river hydroelectric power plant.</t>
  </si>
  <si>
    <t>Hydropower</t>
  </si>
  <si>
    <t>H2O</t>
  </si>
  <si>
    <t>Hydro_HydroS_Turbine</t>
  </si>
  <si>
    <t>Hydroelectric power generation from storage reservoirs.</t>
  </si>
  <si>
    <t>Hydro_HydroSMustrun_Turbine</t>
  </si>
  <si>
    <t>Must-run hydroelectric power generation from storage reservoirs.</t>
  </si>
  <si>
    <t>Hydro_HydroPumped_Turbine</t>
  </si>
  <si>
    <t>Pumped hydroelectric power generation (turbine mode).</t>
  </si>
  <si>
    <t>Hydro_HydroPumped_Pump</t>
  </si>
  <si>
    <t>Pumped hydroelectric energy storage (pump mode).</t>
  </si>
  <si>
    <t>Elec_Fuelcell_ElBdg</t>
  </si>
  <si>
    <t>Electricity generation via fuel cells in buildings (2030).</t>
  </si>
  <si>
    <t>Elec_FuelcellCh4_ElBdg</t>
  </si>
  <si>
    <t>Methane-fueled fuel cell electricity generation in buildings (2030).</t>
  </si>
  <si>
    <t>heat</t>
  </si>
  <si>
    <t>Thermal_ThermalBdg_Hp</t>
  </si>
  <si>
    <t>Generic heat pump for residential heating, fixed COP 4</t>
  </si>
  <si>
    <t>Heatpump</t>
  </si>
  <si>
    <t>Thermal_ThermalBdg_HpSc</t>
  </si>
  <si>
    <t>Coupled heat pump system for buildings.</t>
  </si>
  <si>
    <t>Thermal_ThermalBdg_ElBdg_ThSc</t>
  </si>
  <si>
    <t>Electric heating system for buildings with thermal storage.</t>
  </si>
  <si>
    <t>Heating</t>
  </si>
  <si>
    <t>Thermal_ThermalBdg_El</t>
  </si>
  <si>
    <t>Electric heating system for buildings.</t>
  </si>
  <si>
    <t>Thermal_ThermalBdg_Wood</t>
  </si>
  <si>
    <t>Wood-fueled heating system for buildings.</t>
  </si>
  <si>
    <t>wood</t>
  </si>
  <si>
    <t>Thermal_ThermalBdg_Ch4</t>
  </si>
  <si>
    <t>Methane-fueled heating system for buildings.</t>
  </si>
  <si>
    <t>methane</t>
  </si>
  <si>
    <t>Thermal_ThermalBdg_C12</t>
  </si>
  <si>
    <t>Hydrocarbon-fueled heating system for buildings.</t>
  </si>
  <si>
    <t>CHn</t>
  </si>
  <si>
    <t>Thermal_MswPh_ThPh_Waste</t>
  </si>
  <si>
    <t>Waste-fueled thermal energy generation in power plants.</t>
  </si>
  <si>
    <t>waste</t>
  </si>
  <si>
    <t>Thermal_ThAmb_ThHt</t>
  </si>
  <si>
    <t>Ambient heat extraction for heating (2030).</t>
  </si>
  <si>
    <t>Heat extraction</t>
  </si>
  <si>
    <t>Thermal_ThLt_ThHt</t>
  </si>
  <si>
    <t>Low-temperature heat upgrade for district heating.</t>
  </si>
  <si>
    <t>Thermal_ThermalPh_El</t>
  </si>
  <si>
    <t>Electric heating system for thermal power plants.</t>
  </si>
  <si>
    <t>Thermal_ThermalPh_Wood</t>
  </si>
  <si>
    <t>Wood-fueled heating system for thermal power plants.</t>
  </si>
  <si>
    <t>Thermal_ThermalPh_Ch4</t>
  </si>
  <si>
    <t>Methane-fueled heating system for thermal power plants.</t>
  </si>
  <si>
    <t>Thermal_ThermalPh_C12</t>
  </si>
  <si>
    <t>Hydrocarbon-fueled heating system for thermal power plants.</t>
  </si>
  <si>
    <t>Thermal_ThermalPh_H2</t>
  </si>
  <si>
    <t>Hydrogen-fueled heating system for thermal power plants (2030).</t>
  </si>
  <si>
    <t>Thermal_ThDh_ThBdg</t>
  </si>
  <si>
    <t>Thermal network connection between district heating and buildings.</t>
  </si>
  <si>
    <t>Transport</t>
  </si>
  <si>
    <t>Thermal_ThHt_ThDh</t>
  </si>
  <si>
    <t>Thermal network connection between heat sources and district heating.</t>
  </si>
  <si>
    <t>Heat transport</t>
  </si>
  <si>
    <t>ThBdg_Vent</t>
  </si>
  <si>
    <t>Ventilation heat loss in buildings.</t>
  </si>
  <si>
    <t>Heat loss</t>
  </si>
  <si>
    <t>ThLt_Vent</t>
  </si>
  <si>
    <t>Ventilation heat loss at low-temperature heat nodes.</t>
  </si>
  <si>
    <t>ThHt_Vent</t>
  </si>
  <si>
    <t>Ventilation heat loss at high-temperature heat nodes.</t>
  </si>
  <si>
    <t>ThPh_Vent</t>
  </si>
  <si>
    <t>Ventilation heat loss at thermal power plants.</t>
  </si>
  <si>
    <t>Hydrogen_Electrolysis_El47_H2</t>
  </si>
  <si>
    <t xml:space="preserve">Electrolysis 2030, Alkaline technology is the benchmark </t>
  </si>
  <si>
    <t>Hydrogen_Gasification_Wood_Syngas</t>
  </si>
  <si>
    <t>Woody biomass gasification to syngas</t>
  </si>
  <si>
    <t>CO, H2</t>
  </si>
  <si>
    <t>Hydrogen_Gasification_Msw_Syngas</t>
  </si>
  <si>
    <t>Hydrogen_Gasification_Wood_H2</t>
  </si>
  <si>
    <t>Woody biomass gasification to hydrogen</t>
  </si>
  <si>
    <t>Hydrogen_Gasification_Msw_H2</t>
  </si>
  <si>
    <t>Municipal solid waste gasification to hydrogen</t>
  </si>
  <si>
    <t>J2</t>
  </si>
  <si>
    <t>Methane_Digestion_BioWet_Ch4</t>
  </si>
  <si>
    <t>biomass</t>
  </si>
  <si>
    <t>Methane_Hydrogenation_CO2_Ch4</t>
  </si>
  <si>
    <t>Methane synthesis from H2 and CO2 via the thermo catalytic Sabatier reaction.</t>
  </si>
  <si>
    <t>Methane_Hydrogenation_Syngas_Ch4</t>
  </si>
  <si>
    <t xml:space="preserve">Methane synthesis from Syngas via the thermo catalytic CO hydrogenation. </t>
  </si>
  <si>
    <t>Methanol_Syngas_MeOH</t>
  </si>
  <si>
    <t>Methanol_Hydrogenation_H2_MeOH</t>
  </si>
  <si>
    <t>Methanol sysnthesis from hydrogenation</t>
  </si>
  <si>
    <t>CarbonDioxide_CO2Sys_Vent</t>
  </si>
  <si>
    <t>Carbon dioxide venting from the CO₂ system.</t>
  </si>
  <si>
    <t>CO2 Venting</t>
  </si>
  <si>
    <t>CarbonCapture_Amine</t>
  </si>
  <si>
    <t xml:space="preserve">CO2 post combustion capture via Amine washing. Temperature swing process. 2030 reference based on an approx. 150 ktCO2/a plant size. </t>
  </si>
  <si>
    <t>CO2, amine</t>
  </si>
  <si>
    <t>CarbonCapture_Hpc</t>
  </si>
  <si>
    <t xml:space="preserve">CO2 post combustion capture via Hot-Potassium Carbonate cycling. Pressure swing process. 2030 reference based on an approx. 150 ktCO2/a plant size. </t>
  </si>
  <si>
    <t>CarbonCapture_CO2Waste_Vent</t>
  </si>
  <si>
    <t>CO₂ venting from waste-related processes.</t>
  </si>
  <si>
    <t>CarbonCapture_CO2Wood_Vent</t>
  </si>
  <si>
    <t>CO₂ venting from wood-related processes.</t>
  </si>
  <si>
    <t>CarbonCapture_DacAds</t>
  </si>
  <si>
    <t>Direct air capture using adsorption technology.</t>
  </si>
  <si>
    <t>air</t>
  </si>
  <si>
    <t>CarbonDioxide_Pipeline</t>
  </si>
  <si>
    <t>Not in Tech description</t>
  </si>
  <si>
    <t>Carbon Transport</t>
  </si>
  <si>
    <t>CarbonMonoxide_Rwgs_H2_CO</t>
  </si>
  <si>
    <t>Reverse water gas shift reaction plant. Emerging technology.</t>
  </si>
  <si>
    <t>CarbonMonoxide_ElecRR_CO2_CO</t>
  </si>
  <si>
    <t xml:space="preserve">Reverse water gas shift reaction plant. Mature technology, 2040. </t>
  </si>
  <si>
    <t>CarbonMonoxide_CO_Vent</t>
  </si>
  <si>
    <t>Carbon monoxide venting.</t>
  </si>
  <si>
    <t>CarbonDioxide_RoadRail</t>
  </si>
  <si>
    <t>CO2 Transport</t>
  </si>
  <si>
    <t>biochar</t>
  </si>
  <si>
    <t>Pyrolysis_Wood_CBio</t>
  </si>
  <si>
    <t>Biochar production via pyrolysis of wood.</t>
  </si>
  <si>
    <t>Pyrolysis_BioWet_CBio</t>
  </si>
  <si>
    <t>Biochar production via pyrolysis of wet biomass.</t>
  </si>
  <si>
    <t>Pyrolysis_Ch4_CCh4</t>
  </si>
  <si>
    <t>Hydrocarbons_FischerTropsch_C8</t>
  </si>
  <si>
    <t>Hydrocarbon (C8) synthesis via Fischer-Tropsch process.</t>
  </si>
  <si>
    <t>FischerTropsch</t>
  </si>
  <si>
    <t>Hydrocarbons_FischerTropsch_C12</t>
  </si>
  <si>
    <t>Hydrocarbon (C12) synthesis via Fischer-Tropsch process.</t>
  </si>
  <si>
    <t>Wind_Turbine_Generic</t>
  </si>
  <si>
    <t>Generic wind turbine electricity generation (2020).</t>
  </si>
  <si>
    <t>Wind Turbine</t>
  </si>
  <si>
    <t>wind</t>
  </si>
  <si>
    <t>Ammonia_HaberBosch</t>
  </si>
  <si>
    <t>Synthesizing Ammonia from Haber Bosch Process</t>
  </si>
  <si>
    <t>Haber Bosch</t>
  </si>
  <si>
    <t>Processes Classification</t>
  </si>
  <si>
    <t> </t>
  </si>
  <si>
    <t>Generic wind turbine electricity generation</t>
  </si>
  <si>
    <t>Technology Classification</t>
  </si>
  <si>
    <t>[Sheet]</t>
  </si>
  <si>
    <t>[Datapaper Tech ID]</t>
  </si>
  <si>
    <t>[ehubX Tech ID]</t>
  </si>
  <si>
    <t>[Process ID]</t>
  </si>
  <si>
    <t>[Process Type]</t>
  </si>
  <si>
    <t>[str]</t>
  </si>
  <si>
    <t>[Ontology IRI]</t>
  </si>
  <si>
    <t>[Tech Year]</t>
  </si>
  <si>
    <t>[MainSector]</t>
  </si>
  <si>
    <t>[MainCategory]</t>
  </si>
  <si>
    <t>[CategorySpec]</t>
  </si>
  <si>
    <t>[TechType]</t>
  </si>
  <si>
    <t>sheet</t>
  </si>
  <si>
    <t>process_id</t>
  </si>
  <si>
    <t>unit_operation</t>
  </si>
  <si>
    <t>tech_ontology_IRI</t>
  </si>
  <si>
    <t>description</t>
  </si>
  <si>
    <t>tech_year</t>
  </si>
  <si>
    <t>T_C_Conv_Ammonia_HaberBosch</t>
  </si>
  <si>
    <t>Ammonia Synthesis</t>
  </si>
  <si>
    <t>Haber Bosch unit</t>
  </si>
  <si>
    <t>Ammonia synthesis via Haber Bosch process.</t>
  </si>
  <si>
    <t>Chemical Synthesis</t>
  </si>
  <si>
    <t>Ammonia_OCGT</t>
  </si>
  <si>
    <t>T_C_Conv_Ammonia_OCGT</t>
  </si>
  <si>
    <t>OCGT</t>
  </si>
  <si>
    <t>Ammonia fueled</t>
  </si>
  <si>
    <t>Amine_Washing_CO2</t>
  </si>
  <si>
    <t>T_C_Conv_CarbonCapture_Amine</t>
  </si>
  <si>
    <t>CO2 Capture</t>
  </si>
  <si>
    <t>Amine washing unit</t>
  </si>
  <si>
    <t xml:space="preserve">CO2 post combustion capture via Amine washing. Temperature swing process. Reference based on an approx. 150 ktCO2/a plant size. </t>
  </si>
  <si>
    <t>2030, 2040, 2050</t>
  </si>
  <si>
    <t>Point Source Capture</t>
  </si>
  <si>
    <t>Waste_Venting_CO2</t>
  </si>
  <si>
    <t>T_C_Conv_CarbonCapture_CO2Waste_Vent</t>
  </si>
  <si>
    <t>Ventilator</t>
  </si>
  <si>
    <t>CO2 venting from waste-related processes.</t>
  </si>
  <si>
    <t>Ventilation</t>
  </si>
  <si>
    <t>Wood_Venting_CO2</t>
  </si>
  <si>
    <t>T_C_Conv_CarbonCapture_CO2Wood_Vent</t>
  </si>
  <si>
    <t>CO2 venting from wood-related processes.</t>
  </si>
  <si>
    <t>CarbonCapture_Direct</t>
  </si>
  <si>
    <t>T_C_Conv_CarbonCapture_DacAds</t>
  </si>
  <si>
    <t>CarbonCapture_PressureSwing</t>
  </si>
  <si>
    <t>T_C_Conv_CarbonCapture_Hpc</t>
  </si>
  <si>
    <t>Potassium Carbonate Cycling</t>
  </si>
  <si>
    <t xml:space="preserve">CO2 post combustion capture via Hot-Potassium Carbonate cycling. Pressure swing process. Reference based on an approx. 150 ktCO2/a plant size. </t>
  </si>
  <si>
    <t>CO2_Venting</t>
  </si>
  <si>
    <t>T_C_Conv_CarbonDioxide_CO2Sys_Vent</t>
  </si>
  <si>
    <t>Carbon dioxide venting from the CO2 system.</t>
  </si>
  <si>
    <t>CO2 System</t>
  </si>
  <si>
    <t>CO2_Pipeline</t>
  </si>
  <si>
    <t>T_C_Net_CarbonDioxide_Pipeline (T_C_Net_CarbonDioxide_CO2Sys_CO2Exp)</t>
  </si>
  <si>
    <t>Carbon Dioxide Pipeline</t>
  </si>
  <si>
    <t>General</t>
  </si>
  <si>
    <t>CO2_Roadrail</t>
  </si>
  <si>
    <t>T_C_Net_CarbonDioxide_RoadRail</t>
  </si>
  <si>
    <t>Road, Rail</t>
  </si>
  <si>
    <t>CO_Venting</t>
  </si>
  <si>
    <t>T_C_Conv_CarbonMonoxide_CO_Vent</t>
  </si>
  <si>
    <t>CO Venting</t>
  </si>
  <si>
    <t>Venitlator</t>
  </si>
  <si>
    <t>CO2_RWGS_CO</t>
  </si>
  <si>
    <t>T_C_CarbonMonoxide_ElecRR_CO2</t>
  </si>
  <si>
    <t>CarbonMonoxide_ElecRR_CO2</t>
  </si>
  <si>
    <t>Electrochemical CO2 Reduction</t>
  </si>
  <si>
    <t>Electrolyzer</t>
  </si>
  <si>
    <t>Reduction</t>
  </si>
  <si>
    <t>H2_CO2_RWGS_CO</t>
  </si>
  <si>
    <t>T_C_Conv_CarbonMonoxide_Rwgs_H2_CO</t>
  </si>
  <si>
    <t>Reverse Water Gas Shift</t>
  </si>
  <si>
    <t>RWGS reactor</t>
  </si>
  <si>
    <t xml:space="preserve">Reverse water gas shift reaction plant. Emerging technology. </t>
  </si>
  <si>
    <t>2030, 2040</t>
  </si>
  <si>
    <t>CH4_CCGT</t>
  </si>
  <si>
    <t>T_C_Conv_Elec_CH4_Ccgt</t>
  </si>
  <si>
    <t>Elec_CH4_Ccgt</t>
  </si>
  <si>
    <t>CCGT</t>
  </si>
  <si>
    <t>Methane-fueled CCGT</t>
  </si>
  <si>
    <t>Methane fueled</t>
  </si>
  <si>
    <t>CH4_CCGT_CCS</t>
  </si>
  <si>
    <t>T_C_Conv_Elec_CH4_CCGT + CCS Combo</t>
  </si>
  <si>
    <t>Elec_CH4_CCGT + CCS Combo</t>
  </si>
  <si>
    <t>CCGT, CCS</t>
  </si>
  <si>
    <t>Electricity, Carbon Capture</t>
  </si>
  <si>
    <t>Gas Turbine, CCS</t>
  </si>
  <si>
    <t>CH4_CHP</t>
  </si>
  <si>
    <t>T_C_Conv_Elec_CH4_Chp</t>
  </si>
  <si>
    <t>Elec_CH4_Chp</t>
  </si>
  <si>
    <t>Heat and power co-generation unit</t>
  </si>
  <si>
    <t>Electricity, Heat</t>
  </si>
  <si>
    <t>CHP</t>
  </si>
  <si>
    <t>CH4_OCGT</t>
  </si>
  <si>
    <t>T_C_Conv_Elec_CH4_Ocgt</t>
  </si>
  <si>
    <t>Elec_CH4_Ocgt</t>
  </si>
  <si>
    <t>T_C_Net_Elec_El13_El47</t>
  </si>
  <si>
    <t>Transformer</t>
  </si>
  <si>
    <t>2020, 2030, 2040, 2050</t>
  </si>
  <si>
    <t>Electricity_Buildings</t>
  </si>
  <si>
    <t>T_C_Net_Elec_El47_ElBdg</t>
  </si>
  <si>
    <t>Electricity_Node47_ToRest</t>
  </si>
  <si>
    <t>T_C_Net_Elec_El47_ElRest</t>
  </si>
  <si>
    <t>Coupled_Electricity_Buildings</t>
  </si>
  <si>
    <t>T_C_NetCoupled_Elec_ElBdg_El47</t>
  </si>
  <si>
    <t>2020, 2050</t>
  </si>
  <si>
    <t>Coupled_Electricity_Node47_ToRest</t>
  </si>
  <si>
    <t>T_C_NetCoupled_Elec_ElRest_El47</t>
  </si>
  <si>
    <t>H2_Fuelcell_Buildings</t>
  </si>
  <si>
    <t>T_C_Conv_Elec_Fuelcell_ElBdg</t>
  </si>
  <si>
    <t>Fuel cell</t>
  </si>
  <si>
    <t>Electricity generation via fuel cells in buildings.</t>
  </si>
  <si>
    <t>2040, 2050</t>
  </si>
  <si>
    <t>Fuel Cell</t>
  </si>
  <si>
    <t>Hydrogen fueled</t>
  </si>
  <si>
    <t>H2_Fuelcell</t>
  </si>
  <si>
    <t>T_C_Conv_Elec_Fuelcell_H2_El47</t>
  </si>
  <si>
    <t>Elec_Fuelcell_H2_El47</t>
  </si>
  <si>
    <t>CH4_Fuelcell</t>
  </si>
  <si>
    <t>T_C_Conv_Elec_FuelcellCH4_El47</t>
  </si>
  <si>
    <t>Elec_FuelcellCH4_El47</t>
  </si>
  <si>
    <t>CH4_Fuelcell_Buildings</t>
  </si>
  <si>
    <t>T_C_Conv_Elec_FuelcellCH4_ElBdg</t>
  </si>
  <si>
    <t>Elec_FuelcellCH4_ElBdg</t>
  </si>
  <si>
    <t>Methane-fueled fuel cell electricity generation in buildings.</t>
  </si>
  <si>
    <t>Geothermal_CHP</t>
  </si>
  <si>
    <t>T_C_Conv_Elec_Geothermal_Chp</t>
  </si>
  <si>
    <t>Geothermal power plant</t>
  </si>
  <si>
    <t>Geothermal-based CHP generation.</t>
  </si>
  <si>
    <t>Geothermal</t>
  </si>
  <si>
    <t>H2_CCGT</t>
  </si>
  <si>
    <t>T_C_Conv_Elec_H2_Ccgt</t>
  </si>
  <si>
    <t>Hydrogen-fueled combined cycle gas turbine (CCGT) electricity generation.</t>
  </si>
  <si>
    <t>H2_OCGT</t>
  </si>
  <si>
    <t>T_C_Conv_Elec_H2_Ocgt</t>
  </si>
  <si>
    <t>MunicipalSolidWaste_Incinerator_Electricity</t>
  </si>
  <si>
    <t>T_C_Conv_Elec_Msw_Incinerator</t>
  </si>
  <si>
    <t>Incineration Plant</t>
  </si>
  <si>
    <t>Incinerator</t>
  </si>
  <si>
    <t>U235_NuclearReactor_Electricity</t>
  </si>
  <si>
    <t>T_C_Conv_Elec_Nuclear_U235_El13</t>
  </si>
  <si>
    <t>Nuclear power Plant</t>
  </si>
  <si>
    <t>http://openenergy-platform.org/ontology/oeo/OEO_00020053</t>
  </si>
  <si>
    <t>Wood_CHP</t>
  </si>
  <si>
    <t>T_C_Conv_Elec_Wood_Chp</t>
  </si>
  <si>
    <t>Hydro_Pumped_Pump</t>
  </si>
  <si>
    <t>T_C_Conv_Hydro_HydroPumped_Pump</t>
  </si>
  <si>
    <t>Hydropower Plant</t>
  </si>
  <si>
    <t>Pumped</t>
  </si>
  <si>
    <t>Hydro_Pumped_Turbine</t>
  </si>
  <si>
    <t>T_C_Conv_Hydro_HydroPumped_Turbine</t>
  </si>
  <si>
    <t>Hydro_Run-of-river</t>
  </si>
  <si>
    <t>T_C_Conv_Hydro_HydroRor_Plant</t>
  </si>
  <si>
    <t>Run-of-river</t>
  </si>
  <si>
    <t>Hydro_Storage_Turbine</t>
  </si>
  <si>
    <t>T_C_Conv_Hydro_HydroS_Turbine</t>
  </si>
  <si>
    <t>Storage resevoirs</t>
  </si>
  <si>
    <t>Hydro_Storage_Must-run_Turbine</t>
  </si>
  <si>
    <t>T_C_Conv_Hydro_HydroSMustrun_Turbine</t>
  </si>
  <si>
    <t>H2_FischerTropsch_C12</t>
  </si>
  <si>
    <t>T_C_Conv_Hydrocarbons_FischerTropsch_C12</t>
  </si>
  <si>
    <t>Hydrocarbon Synthesis</t>
  </si>
  <si>
    <t>Fischer Tropsch unit</t>
  </si>
  <si>
    <t>H2_FischerTropsch_C8</t>
  </si>
  <si>
    <t>T_C_Conv_Hydrocarbons_FischerTropsch_C8</t>
  </si>
  <si>
    <t>H2_FischerTroptsch_VSE_C12</t>
  </si>
  <si>
    <t>T_C_Conv_Hydrocarbons_FischerTropsch_VSA</t>
  </si>
  <si>
    <t>Hydrocarbons_FischerTropsch_VSA</t>
  </si>
  <si>
    <t>H2_Electrolysis</t>
  </si>
  <si>
    <t>T_C_Conv_Hydrogen_Electrolysis_El47_H2</t>
  </si>
  <si>
    <t>Hydrogen Production</t>
  </si>
  <si>
    <t xml:space="preserve">Electrolysis, Alkaline technology (10 MW) from Danish Energy Reports 2025 is the benchmark </t>
  </si>
  <si>
    <t>AEC</t>
  </si>
  <si>
    <t>Waste_Waste_Hydrogen</t>
  </si>
  <si>
    <t>T_C_Conv_Hydrogen_Gasification_Msw_H2</t>
  </si>
  <si>
    <t>Fluidized Bed Gasifier</t>
  </si>
  <si>
    <t>Waste_Gasification_Syngas</t>
  </si>
  <si>
    <t>T_C_Conv_Hydrogen_Gasification_Msw_Syngas</t>
  </si>
  <si>
    <t>Syngas Production</t>
  </si>
  <si>
    <t>Wood_Gasification_Hydrogen</t>
  </si>
  <si>
    <t>T_C_Conv_Hydrogen_Gasification_Wood_H2</t>
  </si>
  <si>
    <t>Wood_Gasification_Syngas</t>
  </si>
  <si>
    <t>T_C_Conv_Hydrogen_Gasification_Wood_Syngas</t>
  </si>
  <si>
    <t>CH4_Digestion</t>
  </si>
  <si>
    <t>T_C_Conv_Methane_Digestion_BioWet_CH4</t>
  </si>
  <si>
    <t>Methane_Digestion_BioWet_CH4</t>
  </si>
  <si>
    <t>Anaerobic Digestion</t>
  </si>
  <si>
    <t>Anaerobic Digestion plant</t>
  </si>
  <si>
    <t>Wet biomass anaerobic digestion with gas upgrading</t>
  </si>
  <si>
    <t>CH4_Hydrogenation</t>
  </si>
  <si>
    <t>T_C_Conv_Methane_Hydrogenation_CO2_Ch4</t>
  </si>
  <si>
    <t>Methane Synthesis</t>
  </si>
  <si>
    <t>Sabatier Reaction unit</t>
  </si>
  <si>
    <t>Syngas_Hydrogenation_CH4</t>
  </si>
  <si>
    <t>T_C_Conv_Methane_Hydrogenation_Syngas_CH4</t>
  </si>
  <si>
    <t>Methane_Hydrogenation_Syngas_CH4</t>
  </si>
  <si>
    <t>H2_CO2_Hydrogenation_Methanol</t>
  </si>
  <si>
    <t>T_C_Conv_Methanol_Hydrogenation_H2_MeOH</t>
  </si>
  <si>
    <t>Methanol Synthesis</t>
  </si>
  <si>
    <t>Thermo-catalytic methanol synthesis reactor</t>
  </si>
  <si>
    <t>Methanol synthesis from CO2 hydrogenation</t>
  </si>
  <si>
    <t>Syngas_Hydrogenation_Methanol</t>
  </si>
  <si>
    <t>T_C_Conv_Methanol_Syngas_MeOH</t>
  </si>
  <si>
    <t>Methanol synthesis from Syngas via the thermo catalytic CO hydrogenation</t>
  </si>
  <si>
    <t>Coupled_Electricity</t>
  </si>
  <si>
    <t>T_C_NetCoupled_Net_Elec_El47_El13</t>
  </si>
  <si>
    <t>BioWet_Pyrolysis_CBio</t>
  </si>
  <si>
    <t>T_C_Conv_Pyrolysis_BioWet_CBio</t>
  </si>
  <si>
    <t>Carbon black Production</t>
  </si>
  <si>
    <t>Pyrolyser</t>
  </si>
  <si>
    <t>Methane_Tech_Description</t>
  </si>
  <si>
    <t>T_C_Conv_Pyrolysis_CH4_CCH4</t>
  </si>
  <si>
    <t>Pyrolysis_CH4_CCH4</t>
  </si>
  <si>
    <t>Wood_Pyrolysis_CBio</t>
  </si>
  <si>
    <t>T_C_Conv_Pyrolysis_Wood_CBio</t>
  </si>
  <si>
    <t>ConvTech, SolarTech</t>
  </si>
  <si>
    <t>PV_Alpine_ETHZ</t>
  </si>
  <si>
    <t>T_C_Conv_Solar_Pv_Alpin_ETHZ</t>
  </si>
  <si>
    <t>Solar_Pv_Alpin_ETHZ</t>
  </si>
  <si>
    <t>Photovoltaic Plant</t>
  </si>
  <si>
    <t>gound-mounted Alpine PV, from ETHZ study in 2024</t>
  </si>
  <si>
    <t>2025, 2030, 2040, 2050</t>
  </si>
  <si>
    <t>Photovoltaic</t>
  </si>
  <si>
    <t>Ground-mounted Alpine</t>
  </si>
  <si>
    <t>PV_Alpin</t>
  </si>
  <si>
    <t>T_C_Conv_Solar_Pv_Alpin_VSE</t>
  </si>
  <si>
    <t>Solar_Pv_Alpin_VSE</t>
  </si>
  <si>
    <t>Alpine PV, from VSE</t>
  </si>
  <si>
    <t>Alpine</t>
  </si>
  <si>
    <t>PV_Roof_Flat</t>
  </si>
  <si>
    <t>T_C_Sol_Solar_Pv_Roof_SolFlat</t>
  </si>
  <si>
    <t>Solar_Pv_Roof_SolFlat</t>
  </si>
  <si>
    <t>Photovoltaic Rooftop</t>
  </si>
  <si>
    <t>rooftop PV, small scale</t>
  </si>
  <si>
    <t>Rooftop</t>
  </si>
  <si>
    <t>Ventilation_Loss_Buildings</t>
  </si>
  <si>
    <t>T_C_Conv_ThBdg_Vent</t>
  </si>
  <si>
    <t>Heat Loss</t>
  </si>
  <si>
    <t>CSW_Thermal</t>
  </si>
  <si>
    <t>T_C_Conv_Thermal_Csw_ThPhII</t>
  </si>
  <si>
    <t>Thermal_Csw_ThPhII</t>
  </si>
  <si>
    <t>Heat Generation</t>
  </si>
  <si>
    <t>Waste Incineration</t>
  </si>
  <si>
    <t>Inceneration</t>
  </si>
  <si>
    <t>IndustrialHeatPump</t>
  </si>
  <si>
    <t>T_C_Conv_Thermal_ThAmb_ThHt</t>
  </si>
  <si>
    <t>Heat Extractor</t>
  </si>
  <si>
    <t>Ambient heat extraction for heating.</t>
  </si>
  <si>
    <t>Extraction</t>
  </si>
  <si>
    <t>Ambient</t>
  </si>
  <si>
    <t>Oil_Heating_Buildings</t>
  </si>
  <si>
    <t>T_C_Conv_Thermal_ThermalBdg_C12</t>
  </si>
  <si>
    <t>Oil Boiler</t>
  </si>
  <si>
    <t>Boiler</t>
  </si>
  <si>
    <t>CH4_Heating_Buildings</t>
  </si>
  <si>
    <t>T_C_Conv_Thermal_ThermalBdg_CH4</t>
  </si>
  <si>
    <t>Thermal_ThermalBdg_CH4</t>
  </si>
  <si>
    <t>Electric_Heating_Buildings</t>
  </si>
  <si>
    <t>T_C_Conv_Thermal_ThermalBdg_El</t>
  </si>
  <si>
    <t>Heat Pump</t>
  </si>
  <si>
    <t>Electric heating</t>
  </si>
  <si>
    <t>Electro_Acs</t>
  </si>
  <si>
    <t>T_C_Conv_Thermal_ThermalBdg_ElBdg_ThSc</t>
  </si>
  <si>
    <t>Heatpump_Residential</t>
  </si>
  <si>
    <t>T_C_Conv_Thermal_ThermalBdg_Hp</t>
  </si>
  <si>
    <t>Heatpump_Coupled_Buildings</t>
  </si>
  <si>
    <t>T_C_Coupled_Thermal_ThermalBdg_HpSc</t>
  </si>
  <si>
    <t>Wood_Heating_Buildings</t>
  </si>
  <si>
    <t>T_C_Conv_Thermal_ThermalBdg_Wood</t>
  </si>
  <si>
    <t>Furnace</t>
  </si>
  <si>
    <t>Oil_Heating_ThermalPowerPlants</t>
  </si>
  <si>
    <t>T_C_Conv_Thermal_ThermalPhII_C12</t>
  </si>
  <si>
    <t>Thermal_ThermalPhII_C12</t>
  </si>
  <si>
    <t>Thermal Power Plants</t>
  </si>
  <si>
    <t>CH4_Heating_ThermalPowerPlants</t>
  </si>
  <si>
    <t>T_C_Conv_Thermal_ThermalPhII_CH4</t>
  </si>
  <si>
    <t>Thermal_ThermalPhII_CH4</t>
  </si>
  <si>
    <t>Electric_Heating_ThermalPowerPlants</t>
  </si>
  <si>
    <t>T_C_Conv_Thermal_ThermalPhII_El</t>
  </si>
  <si>
    <t>Thermal_ThermalPhII_El</t>
  </si>
  <si>
    <t>H2_Heating_ThermalPowerPlants</t>
  </si>
  <si>
    <t>T_C_Conv_Thermal_ThermalPhII_H2</t>
  </si>
  <si>
    <t>Thermal_ThermalPhII_H2</t>
  </si>
  <si>
    <t>Hydrogen-fueled heating system for thermal power plants.</t>
  </si>
  <si>
    <t>Wood_Heating_ThermalPowerPlants</t>
  </si>
  <si>
    <t>T_C_Conv_Thermal_ThermalPhII_Wood</t>
  </si>
  <si>
    <t>Thermal_ThermalPhII_Wood</t>
  </si>
  <si>
    <t>Thermal_Network_DistrictHeating-Buildings</t>
  </si>
  <si>
    <t>T_C_Net_Thermal_ThHt_ThBdg</t>
  </si>
  <si>
    <t>Thermal_ThHt_ThBdg</t>
  </si>
  <si>
    <t>Heat Transport</t>
  </si>
  <si>
    <t>District Heating Network</t>
  </si>
  <si>
    <t>District Heating</t>
  </si>
  <si>
    <t>T_C_Conv_Thermal_ThLt_ThHt</t>
  </si>
  <si>
    <t>Thermal_Network_HeatSource_DistrictHeating</t>
  </si>
  <si>
    <t>T_C_Net_Thermal_ThPhII_ThHt</t>
  </si>
  <si>
    <t>Thermal_ThPhII_ThHt</t>
  </si>
  <si>
    <t>Ventilation_Loss_HighTemp_HeatNodes</t>
  </si>
  <si>
    <t>T_C_Conv_ThHt_Vent</t>
  </si>
  <si>
    <t>Losses</t>
  </si>
  <si>
    <t>Ventilation_Loss_LowTemp_HeatNodes</t>
  </si>
  <si>
    <t>T_C_Conv_ThLt_Vent</t>
  </si>
  <si>
    <t>Ventilation_Loss_ThermalPowerPlants</t>
  </si>
  <si>
    <t>T_C_Conv_ThPh_Vent</t>
  </si>
  <si>
    <t>Wind_Turbine</t>
  </si>
  <si>
    <t>T_C_Conv_Wind_Turbine_Generic</t>
  </si>
  <si>
    <t>Generic wind turbine electricity generation.</t>
  </si>
  <si>
    <t>Elec_Battery_ElBdg</t>
  </si>
  <si>
    <t>T_S_Stor_Elec_Battery_ElBdg</t>
  </si>
  <si>
    <t>Storage</t>
  </si>
  <si>
    <t>Battery</t>
  </si>
  <si>
    <t>Electric battery storage at home, 2025</t>
  </si>
  <si>
    <t>Elec_Battery_El47</t>
  </si>
  <si>
    <t>T_S_Stor_Elec_Battery_El47</t>
  </si>
  <si>
    <t>Electric battery storage at the grid, 2020</t>
  </si>
  <si>
    <t>Hydro_HydroS_Reservoir</t>
  </si>
  <si>
    <t>T_S_Stor_Hydro_HydroS_Reservoir</t>
  </si>
  <si>
    <t>Reservoir</t>
  </si>
  <si>
    <t>Hydro reservoir, without pump and generator</t>
  </si>
  <si>
    <t>Hydro_HydroPumped_Reservoir</t>
  </si>
  <si>
    <t>T_S_Stor_Hydro_HydroPumped_Reservoir</t>
  </si>
  <si>
    <t>Pumped hydro reservoir, without pump and generator</t>
  </si>
  <si>
    <t>Thermal_ThermalBdg_ThDhw</t>
  </si>
  <si>
    <t>T_S_Stor_Thermal_ThermalBdg_ThDhw</t>
  </si>
  <si>
    <t>Hot water storage tank at home</t>
  </si>
  <si>
    <t>Thermal_Generic_ThDh</t>
  </si>
  <si>
    <t>T_S_Stor_Thermal_Generic_ThDh</t>
  </si>
  <si>
    <t>Thermal storage for district heating, seasonal storage</t>
  </si>
  <si>
    <t>Thermal_Generic_ThHt</t>
  </si>
  <si>
    <t>T_S_Stor_Thermal_Generic_ThHt</t>
  </si>
  <si>
    <t>Hydrogen_Tank_Generic</t>
  </si>
  <si>
    <t>T_S_Stor_Hydrogen_Tank_Generic</t>
  </si>
  <si>
    <t>Tank</t>
  </si>
  <si>
    <t>Methane_Tank_Ch4</t>
  </si>
  <si>
    <t>T_S_Stor_Methane_Tank_Ch4</t>
  </si>
  <si>
    <t>Methane_Grid_Ch4</t>
  </si>
  <si>
    <t>T_S_Stor_Methane_Grid_Ch4</t>
  </si>
  <si>
    <t>Methane_Ug_Ch4</t>
  </si>
  <si>
    <t>T_S_Stor_Methane_Ug_Ch4</t>
  </si>
  <si>
    <t>CarbonDioxide_Tank</t>
  </si>
  <si>
    <t>T_S_CarbonDioxide_Tank</t>
  </si>
  <si>
    <t>Carbo Dioxide</t>
  </si>
  <si>
    <t>CarbonMonoxide_Tank</t>
  </si>
  <si>
    <t>T_S_CarbonMonoxide_Tank</t>
  </si>
  <si>
    <t>C8_Hydrocarbons_Tank</t>
  </si>
  <si>
    <t>T_S_C8_Hydrocarbons_Tank</t>
  </si>
  <si>
    <t>C12_Hydrocarbons_Tank</t>
  </si>
  <si>
    <t>T_S_C12_Hydrocarbons_Tank</t>
  </si>
  <si>
    <t>NH3_Tank_Generic</t>
  </si>
  <si>
    <t>T_S_Stor_NH3_Tank_Generic</t>
  </si>
  <si>
    <t>Tank storage for ammonia</t>
  </si>
  <si>
    <t>LCA Classification</t>
  </si>
  <si>
    <t>[LCA ID]</t>
  </si>
  <si>
    <t>[Reference product]</t>
  </si>
  <si>
    <t>[LCA unit]</t>
  </si>
  <si>
    <t>[Location]</t>
  </si>
  <si>
    <t>[LCA Scenario]</t>
  </si>
  <si>
    <t>lca_id</t>
  </si>
  <si>
    <t>ref_product</t>
  </si>
  <si>
    <t>lca_unit</t>
  </si>
  <si>
    <t>Location</t>
  </si>
  <si>
    <t>SSP2-NDC_2025</t>
  </si>
  <si>
    <t>SSP2-NDC_2030</t>
  </si>
  <si>
    <t>SSP2-NDC_2040</t>
  </si>
  <si>
    <t>SSP2-NDC_2050</t>
  </si>
  <si>
    <t>SSP2-PkBudg1000_2025</t>
  </si>
  <si>
    <t>SSP2-PkBudg1000_2030</t>
  </si>
  <si>
    <t>SSP2-PkBudg1000_2040</t>
  </si>
  <si>
    <t>SSP2-PkBudg1000_2050</t>
  </si>
  <si>
    <t>T_C_CarbonMonoxide_ElecRR_CO2_CO</t>
  </si>
  <si>
    <t>electrolyzer production, 1MWe, SOEC, Stack</t>
  </si>
  <si>
    <t>electrolyzer, 1MWe, SOEC, Stack</t>
  </si>
  <si>
    <t>kgCO2eq/kW</t>
  </si>
  <si>
    <t>RER</t>
  </si>
  <si>
    <t>T_C_Conv_Ammonia_CCGT</t>
  </si>
  <si>
    <t>market for gas power plant, combined cycle, 400MW electrical</t>
  </si>
  <si>
    <t>gas power plant, combined cycle, 400MW electrical</t>
  </si>
  <si>
    <t>GLO</t>
  </si>
  <si>
    <t>ammonia synthesis catalyst production</t>
  </si>
  <si>
    <t>ammonia synthesis catalyst</t>
  </si>
  <si>
    <t>kgCO2eq/kg</t>
  </si>
  <si>
    <t>micro gas turbine production, 100kW electrical</t>
  </si>
  <si>
    <t>micro gas turbine, 100kW electrical</t>
  </si>
  <si>
    <t>market for monoethanolamine</t>
  </si>
  <si>
    <t>monoethanolamine</t>
  </si>
  <si>
    <t>T_C_Conv_CarbonCapture_DacAbs</t>
  </si>
  <si>
    <t>direct air capture system, solvent-based, 1MtCO2</t>
  </si>
  <si>
    <t>direct air capture system</t>
  </si>
  <si>
    <t>direct air capture system, sorbent-based, 100ktCO2</t>
  </si>
  <si>
    <t>potassium carbonate production, from potassium hydroxide</t>
  </si>
  <si>
    <t>potassium carbonate</t>
  </si>
  <si>
    <t>RWGS tank construction</t>
  </si>
  <si>
    <t>T_C_Conv_CatalyticHydropyrolysis_syngas</t>
  </si>
  <si>
    <t>chemical factory construction, organics</t>
  </si>
  <si>
    <t>chemical factory, organics</t>
  </si>
  <si>
    <t>T_C_Conv_Coelectrolysis</t>
  </si>
  <si>
    <t>electrolyzer production, 1MWe, SOEC, BoP / Stack</t>
  </si>
  <si>
    <t>T_C_Conv_EL3_RWG</t>
  </si>
  <si>
    <t>T_C_Conv_Elec_Ch4_CCGT + CCS Combo</t>
  </si>
  <si>
    <t>T_C_Conv_Elec_Ch4_Ccgt</t>
  </si>
  <si>
    <t>T_C_Conv_Elec_Ch4_Chp</t>
  </si>
  <si>
    <t>heat and power co-generation unit construction, 160kW electrical, common components for heat+electricity</t>
  </si>
  <si>
    <t>heat and power co-generation unit, 160kW electrical, common components for heat+electricity</t>
  </si>
  <si>
    <t>T_C_Conv_Elec_Ch4_Ocgt</t>
  </si>
  <si>
    <t>T_C_Conv_Elec_FuelcellCh4_El47</t>
  </si>
  <si>
    <t>fuel cell production, solid oxide, 125kW electrical, future</t>
  </si>
  <si>
    <t>fuel cell, solid oxide, 125kW electrical, future</t>
  </si>
  <si>
    <t>T_C_Conv_Elec_FuelcellCh4_ElBdg</t>
  </si>
  <si>
    <t>T_C_Conv_Elec_Fuelcell_H2_El13</t>
  </si>
  <si>
    <t>geothermal power plant construction</t>
  </si>
  <si>
    <t>geothermal power plant, 5.5MWel</t>
  </si>
  <si>
    <t>auto-thermal reforming-hydrogen GT power plant, 400MWe</t>
  </si>
  <si>
    <t>municipal waste incineration facility construction</t>
  </si>
  <si>
    <t>municipal waste incineration facility</t>
  </si>
  <si>
    <t>nuclear power plant construction, pressure water reactor, 1000MW</t>
  </si>
  <si>
    <t>nuclear power plant, pressure water reactor, 1000MW</t>
  </si>
  <si>
    <t>heat and power co-generation unit construction, 1MWel</t>
  </si>
  <si>
    <t>heat and power co-generation unit, organic Rankine cycle, 1MWe, 6.4 MWth</t>
  </si>
  <si>
    <t>T_C_Conv_FormicAcid_Hydrogenation</t>
  </si>
  <si>
    <t>T_C_Conv_Gasifier_Syngas</t>
  </si>
  <si>
    <t>synthetic gas factory construction</t>
  </si>
  <si>
    <t>synthetic gas factory</t>
  </si>
  <si>
    <t>hydropower plant construction, reservoir, alpine region</t>
  </si>
  <si>
    <t>hydropower plant, reservoir, alpine region</t>
  </si>
  <si>
    <t>hydropower plant construction, run-of-river</t>
  </si>
  <si>
    <t>hydropower plant, run-of-river</t>
  </si>
  <si>
    <t>gas-to-liquid plant construction</t>
  </si>
  <si>
    <t>gas-to-liquid plant</t>
  </si>
  <si>
    <t>T_C_Conv_Hydrogen_Electrolysis_AEC_El47_H2</t>
  </si>
  <si>
    <t>electrolyzer production, 1MWe, AEC, BoP / Stack</t>
  </si>
  <si>
    <t>electrolyzer, 1MWe, AEC, Stack</t>
  </si>
  <si>
    <t>T_C_Conv_Hydrogen_Electrolysis_PEMEC_El47_H2</t>
  </si>
  <si>
    <t>electrolyzer production, 1MWe, PEM, BoP / Stack</t>
  </si>
  <si>
    <t>electrolyzer, 1MWe, PEM, Stack</t>
  </si>
  <si>
    <t>T_C_Conv_Hydrogen_Electrolysis_SOEC_El47_H2</t>
  </si>
  <si>
    <t>T_C_Conv_Methane_Biogas_large_CH4</t>
  </si>
  <si>
    <t>anaerobic digestion plant construction, agricultural</t>
  </si>
  <si>
    <t>anaerobic digestion plant, agricultural</t>
  </si>
  <si>
    <t>T_C_Conv_Methane_Biogas_small_CH4</t>
  </si>
  <si>
    <t>T_C_Conv_Methane_Digestion_BioWet_Ch4</t>
  </si>
  <si>
    <t>T_C_Conv_Methane_Hydrogenation_Syngas_Ch4</t>
  </si>
  <si>
    <t>sabatier reaction methanation unit construction</t>
  </si>
  <si>
    <t>sabatier reaction methanation unit</t>
  </si>
  <si>
    <t>methanol production facility, construction</t>
  </si>
  <si>
    <t>T_C_Conv_SlowPyrolisis_digestate</t>
  </si>
  <si>
    <t>photovoltaic plant construction, 570kWp, multi-Si, on open ground</t>
  </si>
  <si>
    <t>photovoltaic plant, 570kWp, multi-Si, on open ground</t>
  </si>
  <si>
    <t>T_C_Conv_Thermal_MswPh_ThPh_Waste</t>
  </si>
  <si>
    <t>market for gas boiler</t>
  </si>
  <si>
    <t>gas boiler</t>
  </si>
  <si>
    <t>T_C_Conv_Thermal_ThermalBdg_Ch4</t>
  </si>
  <si>
    <t>auxiliary heating unit production, electric, 5kW</t>
  </si>
  <si>
    <t>auxiliary heating unit, electric, 5kW</t>
  </si>
  <si>
    <t>heat pump production, diffusion absorption, 4kW, future</t>
  </si>
  <si>
    <t>heat pump, diffusion absorption, 4kW, future</t>
  </si>
  <si>
    <t>heat pump production, 30kW</t>
  </si>
  <si>
    <t>heat pump, 30kW</t>
  </si>
  <si>
    <t>furnace production, wood chips, with silo, 50kW</t>
  </si>
  <si>
    <t>furnace, wood chips, with silo, 50kW</t>
  </si>
  <si>
    <t>T_C_Conv_Thermal_ThermalPh_C12</t>
  </si>
  <si>
    <t>T_C_Conv_Thermal_ThermalPh_Ch4</t>
  </si>
  <si>
    <t>T_C_Conv_Thermal_ThermalPh_El</t>
  </si>
  <si>
    <t>T_C_Conv_Thermal_ThermalPh_H2</t>
  </si>
  <si>
    <t>T_C_Conv_Thermal_ThermalPh_Wood</t>
  </si>
  <si>
    <t>wind turbine construction, 2MW, onshore</t>
  </si>
  <si>
    <t>wind turbine, 2MW, onshore</t>
  </si>
  <si>
    <t>transformer production, high voltage use</t>
  </si>
  <si>
    <t>transformer, high voltage use</t>
  </si>
  <si>
    <t>distribution network construction, electricity, low voltage</t>
  </si>
  <si>
    <t>distribution network, electricity, low voltage</t>
  </si>
  <si>
    <t>kgCO2eq/km</t>
  </si>
  <si>
    <t>photovoltaic flat-roof installation, 3kWp, multi-Si, on roof</t>
  </si>
  <si>
    <t>T_C_Net_Elec_El47_ElRest_2020</t>
  </si>
  <si>
    <t>Reference ID</t>
  </si>
  <si>
    <t>Reference Description</t>
  </si>
  <si>
    <t>Reference Type</t>
  </si>
  <si>
    <t>DOI or Link</t>
  </si>
  <si>
    <t>Access Date</t>
  </si>
  <si>
    <t>PDF in server</t>
  </si>
  <si>
    <t>source_id</t>
  </si>
  <si>
    <t>doi_or_url</t>
  </si>
  <si>
    <t>report_VSE_2022</t>
  </si>
  <si>
    <t>VSE Energiezukunft 2050, Studie 2022</t>
  </si>
  <si>
    <t>BibTex</t>
  </si>
  <si>
    <t>assumption_Empa_2022</t>
  </si>
  <si>
    <t>Expert Assumption</t>
  </si>
  <si>
    <t>paper_mutschler_2018</t>
  </si>
  <si>
    <t>DOI</t>
  </si>
  <si>
    <t>https://doi.org/10.1016/j.jcat.2018.08.002</t>
  </si>
  <si>
    <t>assumption_reFuelWP3_2025</t>
  </si>
  <si>
    <t>report_VSE_2025</t>
  </si>
  <si>
    <t>VSE Energiezukunft 2050, Update 2025</t>
  </si>
  <si>
    <t>The costs of future energy technologies: A comprehensive review of power-to-X processes</t>
  </si>
  <si>
    <t>https://doi.org/10.1016/j.jcou.2025.103019</t>
  </si>
  <si>
    <t>assumption_Empa_2025</t>
  </si>
  <si>
    <t>Expert assumptions and calculations by Empa</t>
  </si>
  <si>
    <t>paper_alpinePV_2024</t>
  </si>
  <si>
    <t>ETHZ paper on Alpine PV cost and financial viability</t>
  </si>
  <si>
    <t>https://doi.org/10.1016/j.apenergy.2024.124019</t>
  </si>
  <si>
    <t>paper_PVcostProjection_2025</t>
  </si>
  <si>
    <t xml:space="preserve">review the cost projection of PV, wind, battery </t>
  </si>
  <si>
    <t>https://doi.org/10.1016/j.apenergy.2025.125856</t>
  </si>
  <si>
    <t>assumption_PVcostProjection</t>
  </si>
  <si>
    <t>4/3/2% cost reduction per year in 2030/2040/2050, see ref_id "paper_PVcostProjection_2025"</t>
  </si>
  <si>
    <t>assumption_Empa_PV_OM</t>
  </si>
  <si>
    <t>currently FOM is 15-25 CHF/kW.year, may reduce to 10 in 2050</t>
  </si>
  <si>
    <t>web_BatteryCH_2023</t>
  </si>
  <si>
    <t>article about market price of home batteries in CH, in 2023</t>
  </si>
  <si>
    <t>https://alpvolt.com/en/news/solar-batteries-in-switzerland</t>
  </si>
  <si>
    <t>assumption_Empa_battery_capex_2025</t>
  </si>
  <si>
    <t>assumption based on various info</t>
  </si>
  <si>
    <t>web_Battery_OM_2025</t>
  </si>
  <si>
    <t>FOM costs are estimated at 2.5% of the capital costs</t>
  </si>
  <si>
    <t>https://atb.nrel.gov/electricity/2024/utility-scale_battery_storage</t>
  </si>
  <si>
    <t>Allgoewer_2024</t>
  </si>
  <si>
    <t>Paper by ETH from PATHFNDR</t>
  </si>
  <si>
    <t>https://doi.org/10.1021/acs.iecr.4c01287</t>
  </si>
  <si>
    <t>Rheintal_2025</t>
  </si>
  <si>
    <t>Rheintal paper of Empa, submitted 2025</t>
  </si>
  <si>
    <t>https://dx.doi.org/10.2139/ssrn.5291581</t>
  </si>
  <si>
    <t>book_hydropower_2020</t>
  </si>
  <si>
    <t>Future Energy (Third Edition)</t>
  </si>
  <si>
    <t>https://doi.org/10.1016/B978-0-08-102886-5.00015-3</t>
  </si>
  <si>
    <t>report_danish_energy_2025</t>
  </si>
  <si>
    <t>Report from Danish Energy Agency</t>
  </si>
  <si>
    <t>https://ens.dk/technologydata</t>
  </si>
  <si>
    <t>assumption_Empa_danish_energy_OE</t>
  </si>
  <si>
    <t>Overall Efficiency estimatin of biogas plants: Average(Efficiency values for different input carrieres)</t>
  </si>
  <si>
    <t>paper_CCGT_2024</t>
  </si>
  <si>
    <t>Modeling combined-cycle power plants in a detailed electricity market</t>
  </si>
  <si>
    <t>https://doi.org/10.1016/j.energy.2024.131246</t>
  </si>
  <si>
    <t>paper_CCGT+CCS_2016</t>
  </si>
  <si>
    <t>Off-design point modelling of a 420 MW CCGT power plant integrated with an amine-based post-combustion CO2 capture and compression process</t>
  </si>
  <si>
    <t>https://doi.org/10.1016/j.apenergy.2016.06.087</t>
  </si>
  <si>
    <t>report_global_hydrogen_review_2024</t>
  </si>
  <si>
    <t>he Global Hydrogen Review 2024 systematically monitors the global hydrogen sector, reporting that demand reached 97 Mt in 2023—mostly supplied by unabated fossil fuels—despite accelerating policy action, growing low-emissions project announcements, and almost USD 100 billion in public funding allocated to support the clean energy transition.</t>
  </si>
  <si>
    <t>https://iea.blob.core.windows.net/assets/89c1e382-dc59-46ca-aa47-9f7d41531ab5/GlobalHydrogenReview2024.pdf</t>
  </si>
  <si>
    <t>report_jrc_2021</t>
  </si>
  <si>
    <t>https://doi.org/10.2760/527879</t>
  </si>
  <si>
    <t>report_power_to_ammonia_2018</t>
  </si>
  <si>
    <t>Power-to-ammonia in future North European 100 %  renewable power and heat system</t>
  </si>
  <si>
    <t>https://doi.org/10.1016/j.ijhydene.2018.06.121</t>
  </si>
  <si>
    <t>conversion_parametrization</t>
  </si>
  <si>
    <t>Calculating Input Output Ratios of Reactions</t>
  </si>
  <si>
    <t>paper_e-fuel production</t>
  </si>
  <si>
    <t>Forging a sustainable sky: Unveiling the pillars of aviation e-fuel production for carbon emission circularity</t>
  </si>
  <si>
    <t>https://doi.org/10.1016/j.isci.2024.109154</t>
  </si>
  <si>
    <t>paper_wood to syngas</t>
  </si>
  <si>
    <t>Cutting-edge biomass gasification technologies for renewable energy generation and achieving net zero emissions</t>
  </si>
  <si>
    <t>https://doi.org/10.1016/j.enconman.2024.119213</t>
  </si>
  <si>
    <t>report_wood to hydrogen</t>
  </si>
  <si>
    <t>Biomass gasification for hydrogen production</t>
  </si>
  <si>
    <t>URL</t>
  </si>
  <si>
    <t>https://www.ieabioenergy.com/wp-content/uploads/2025/03/IEA-Bioenergy_T33_Bio-H2_Final_v2.pdf</t>
  </si>
  <si>
    <t>paper_Msw to syngas</t>
  </si>
  <si>
    <t>Municipal Solid Waste Gasification: Technologies, Process Parameters, and Sustainable Valorization of By-Products in a Circular Economy</t>
  </si>
  <si>
    <t>https://doi.org/10.3390/su17156704</t>
  </si>
  <si>
    <t>paper_RWGS</t>
  </si>
  <si>
    <t>Technology Readiness and Emerging Prospects of CoupledCatalytic Reactions for Sustainable Chemical Value Chains</t>
  </si>
  <si>
    <t>https://doi.org/10.1002/cssc.202400865</t>
  </si>
  <si>
    <t>source_shares</t>
  </si>
  <si>
    <t>Temporary reference ID for input and output shares</t>
  </si>
  <si>
    <t>paper_biogas</t>
  </si>
  <si>
    <t>Biogas-to-biomethane upgrading: A comparative review and assessment in a life cycle perspective</t>
  </si>
  <si>
    <t>https://doi.org/10.1016/j.rser.2020.110588</t>
  </si>
  <si>
    <t>parameters_lca</t>
  </si>
  <si>
    <t>LCA Parameters</t>
  </si>
  <si>
    <t>assumption_</t>
  </si>
  <si>
    <t>Paper_Postcom_2021</t>
  </si>
  <si>
    <r>
      <t>Postcombustion CO</t>
    </r>
    <r>
      <rPr>
        <sz val="9"/>
        <color rgb="FF151515"/>
        <rFont val="Arial"/>
        <family val="2"/>
        <scheme val="minor"/>
      </rPr>
      <t>2</t>
    </r>
    <r>
      <rPr>
        <sz val="24"/>
        <color rgb="FF151515"/>
        <rFont val="Arial"/>
        <family val="2"/>
        <scheme val="minor"/>
      </rPr>
      <t> </t>
    </r>
    <r>
      <rPr>
        <sz val="12"/>
        <color rgb="FF151515"/>
        <rFont val="Arial"/>
        <family val="2"/>
        <scheme val="minor"/>
      </rPr>
      <t>Capture: A Comparative Techno-Economic Assessment of Three Technologies Using a Solvent, an Adsorbent, and a Membrane</t>
    </r>
  </si>
  <si>
    <t>Postcombustion CO2 Capture: A Comparative Techno-Economic Assessment of Three Technologies Using a Solvent, an Adsorbent, and a Membrane | ACS Engineering Au</t>
  </si>
  <si>
    <t>AECOM_2022</t>
  </si>
  <si>
    <t>AECOM 2022: Next Generation Carbon Capture Technology Technoeconomic Analysis Work Package 6</t>
  </si>
  <si>
    <t>biochar_jcp_2025</t>
  </si>
  <si>
    <t>Financial feasibility of biochar production: A comparative analysis of business scenarios</t>
  </si>
  <si>
    <t>https://doi.org/10.1016/j.jclepro.2025.147167</t>
  </si>
  <si>
    <t>EP2050+Exkurs</t>
  </si>
  <si>
    <t>Energieperspektiven 2050+ Exkurs Negativemissionstechnologien und CCS Potenziale, Kosten und Einsatz</t>
  </si>
  <si>
    <t>https://www.bfe.admin.ch/bfe/en/home/politik/energieperspektiven-2050-plus.exturl.html/aHR0cHM6Ly9wdWJkYi5iZmUuYWRtaW4uY2gvZGUvcHVibGljYX/Rpb24vZG93bmxvYWQvMTA2MjA=.html</t>
  </si>
  <si>
    <t>report_ASSET_2018</t>
  </si>
  <si>
    <t>ASSET: Technology pathways in decarbonisation scenarios (July 2018)</t>
  </si>
  <si>
    <t>https://build-up.ec.europa.eu/sites/default/files/content/2018_06_27_technology_pathways_-_finalreportmain2.pdf</t>
  </si>
  <si>
    <t>report_gas_compression_2014</t>
  </si>
  <si>
    <t>Energieaufwand für Gaskomprimierung (November 2014)</t>
  </si>
  <si>
    <t>https://www.ost.ch/fileadmin/dateiliste/3_forschung_dienstleistung/technik/3.7.1_erneuerbare_energien_und_umwelttechnik/iet/power-to-x/06_energie_fuer_gaskomprimierung.pdf</t>
  </si>
  <si>
    <t>report_gas_storage_2017</t>
  </si>
  <si>
    <t>Speicherkapazität von Erdgas in der Schweiz (24 Feb 2017)</t>
  </si>
  <si>
    <t>cannot find the link of the report</t>
  </si>
  <si>
    <t>report_danish_energy_2026</t>
  </si>
  <si>
    <t xml:space="preserve">Review </t>
  </si>
  <si>
    <t>Classification</t>
  </si>
  <si>
    <t>Attributes</t>
  </si>
  <si>
    <t>Conversion Parameterization</t>
  </si>
  <si>
    <t>Economic Parameterization</t>
  </si>
  <si>
    <t>Uncertainty</t>
  </si>
  <si>
    <t>CO2 emissions</t>
  </si>
  <si>
    <t>[boolean]</t>
  </si>
  <si>
    <t>[Author]</t>
  </si>
  <si>
    <t>[ProcessType]</t>
  </si>
  <si>
    <t>[Description]</t>
  </si>
  <si>
    <t>kW</t>
  </si>
  <si>
    <t>[Year]</t>
  </si>
  <si>
    <t>[Currency]</t>
  </si>
  <si>
    <t>Year</t>
  </si>
  <si>
    <t>[TechMaturity]</t>
  </si>
  <si>
    <t>[TechBoundary]</t>
  </si>
  <si>
    <t>[float]</t>
  </si>
  <si>
    <t>[list of Carriers]</t>
  </si>
  <si>
    <t>[Carrier]</t>
  </si>
  <si>
    <t>[list of floats, comma separated]</t>
  </si>
  <si>
    <t>[list of units in kWh and kg]</t>
  </si>
  <si>
    <t>[list of float, comma separated]</t>
  </si>
  <si>
    <t>[list of units, comma separated]</t>
  </si>
  <si>
    <t>Years</t>
  </si>
  <si>
    <t>Currency/kW</t>
  </si>
  <si>
    <t>Currency/year</t>
  </si>
  <si>
    <t>%</t>
  </si>
  <si>
    <t xml:space="preserve"> Currency/kW/Year</t>
  </si>
  <si>
    <t xml:space="preserve"> Currency/kWh/Year</t>
  </si>
  <si>
    <t>[LCA Unit]</t>
  </si>
  <si>
    <t>[Embedded Carbon]</t>
  </si>
  <si>
    <t>[dict of ReferenceID]</t>
  </si>
  <si>
    <t>Review done</t>
  </si>
  <si>
    <t>1st Review responsible</t>
  </si>
  <si>
    <t>2nd Review responsible</t>
  </si>
  <si>
    <t>Review approved (Robin)</t>
  </si>
  <si>
    <t>Barton</t>
  </si>
  <si>
    <t>Gianfranco</t>
  </si>
  <si>
    <t>T_C_Sol_Solar_Pv_Roof_2025_SolFlat</t>
  </si>
  <si>
    <t>rooftop PV, small scale, in 2025</t>
  </si>
  <si>
    <t>SolFlat</t>
  </si>
  <si>
    <t>"CAPEX", "Opex Power Capacity": report_VSE_2025; "Output Shares": paper_alpinePV_2024;</t>
  </si>
  <si>
    <t>Check source</t>
  </si>
  <si>
    <t>T_C_Sol_Solar_Pv_Roof_2030_SolFlat</t>
  </si>
  <si>
    <t>rooftop PV, small scale, in 2030</t>
  </si>
  <si>
    <t>T_C_Sol_Solar_Pv_Roof_2040_SolFlat</t>
  </si>
  <si>
    <t>rooftop PV, small scale, in 2040</t>
  </si>
  <si>
    <t>T_C_Sol_Solar_Pv_Roof_2050_SolFlat</t>
  </si>
  <si>
    <t>rooftop PV, small scale, in 2050</t>
  </si>
  <si>
    <t>T_C_Conv_Solar_Pv_Alpin_VSE_2030</t>
  </si>
  <si>
    <t>Alpine PV, from VSE, 2030</t>
  </si>
  <si>
    <t>Complete installation</t>
  </si>
  <si>
    <t>kWh</t>
  </si>
  <si>
    <t>"all": report_VSE_2022</t>
  </si>
  <si>
    <t>T_C_Conv_Solar_Pv_Alpin_VSE_2040</t>
  </si>
  <si>
    <t>T_C_Conv_Solar_Pv_Alpin_VSE_2050</t>
  </si>
  <si>
    <t>T_C_Conv_Solar_Pv_Alpin_ETHZ_2024</t>
  </si>
  <si>
    <t>"CAPEX": paper_alpinePV_2024; "Opex Power Capacity": assumption_Empa_PV_OM;</t>
  </si>
  <si>
    <t>T_C_Conv_Solar_Pv_Alpin_ETHZ_2030</t>
  </si>
  <si>
    <t>gound-mounted Alpine PV, from ETHZ study in 2024, project to 2030</t>
  </si>
  <si>
    <t>"CAPEX": assumption_PVcostProjection; "Opex Power Capacity": assumption_Empa_PV_OM;</t>
  </si>
  <si>
    <t>T_C_Conv_Solar_Pv_Alpin_ETHZ_2040</t>
  </si>
  <si>
    <t>gound-mounted Alpine PV, from ETHZ study in 2024, project to 2040</t>
  </si>
  <si>
    <t>T_C_Conv_Solar_Pv_Alpin_ETHZ_2050</t>
  </si>
  <si>
    <t>gound-mounted Alpine PV, from ETHZ study in 2024, project to 2050</t>
  </si>
  <si>
    <t>Review</t>
  </si>
  <si>
    <t>Simplified Conversion Efficiency</t>
  </si>
  <si>
    <t>Mass Flows</t>
  </si>
  <si>
    <t>Balance Summary</t>
  </si>
  <si>
    <t>Include in Datastructures</t>
  </si>
  <si>
    <t>Reference Check</t>
  </si>
  <si>
    <t>[MWh/h] or [t/h]</t>
  </si>
  <si>
    <t>[TRL 1-9]</t>
  </si>
  <si>
    <t>[0-1]</t>
  </si>
  <si>
    <t>[Input Carrier, Output Carrier]</t>
  </si>
  <si>
    <t>°C</t>
  </si>
  <si>
    <t>kW, kg/hr</t>
  </si>
  <si>
    <t>Currency/OutputUnit/Hour</t>
  </si>
  <si>
    <r>
      <t xml:space="preserve"> Currency/OutputUnit/Year. </t>
    </r>
    <r>
      <rPr>
        <b/>
        <sz val="12"/>
        <color theme="1"/>
        <rFont val="Aptos"/>
        <family val="2"/>
      </rPr>
      <t>Excl. fuels!</t>
    </r>
  </si>
  <si>
    <t xml:space="preserve"> Currency/kWh or Currency/kg</t>
  </si>
  <si>
    <t>[UncertaintyLevel]</t>
  </si>
  <si>
    <t>[lca_id]</t>
  </si>
  <si>
    <t>[unit]</t>
  </si>
  <si>
    <t>[kgCO2-eq/lca_unit]</t>
  </si>
  <si>
    <t>CAPEX/OPEX VSE 2025 and difference from tabulated</t>
  </si>
  <si>
    <t>CAPEX/OPEX VSE 2022 and difference from tabulated</t>
  </si>
  <si>
    <t>Review approved (Arash)</t>
  </si>
  <si>
    <t>Datapaper Tech ID</t>
  </si>
  <si>
    <t>Unit Operation</t>
  </si>
  <si>
    <t xml:space="preserve">tech_maturity </t>
  </si>
  <si>
    <t>Input Units - Shares</t>
  </si>
  <si>
    <t>Input Ratios</t>
  </si>
  <si>
    <t>Input Units - Ratios</t>
  </si>
  <si>
    <t>ratios_out</t>
  </si>
  <si>
    <t>Output Units - Ratios</t>
  </si>
  <si>
    <t>Output Units - Shares</t>
  </si>
  <si>
    <t>Theoretical Efficiency</t>
  </si>
  <si>
    <t>Operating Temperature</t>
  </si>
  <si>
    <t xml:space="preserve">Uncertainty Rating </t>
  </si>
  <si>
    <t>embedded_carbon_kgco2e_per_lca_unit</t>
  </si>
  <si>
    <t>Mass Inflows</t>
  </si>
  <si>
    <t>Mass Outflows</t>
  </si>
  <si>
    <t>CAPEX  Value (VSE 2025)</t>
  </si>
  <si>
    <t>CAPEX Change % (VSE 2025)</t>
  </si>
  <si>
    <t>OPEX New Value (VSE 2025)</t>
  </si>
  <si>
    <t>OPEX (FOM) Change % (VSE 2025)</t>
  </si>
  <si>
    <t>CAPEX  Value (VSE 2022)</t>
  </si>
  <si>
    <t>CAPEX Change % (VSE 2022)</t>
  </si>
  <si>
    <t>OPEX New Value (VSE 2022)</t>
  </si>
  <si>
    <t>Lifetime / Amortisation VSE2025</t>
  </si>
  <si>
    <t xml:space="preserve">Difference </t>
  </si>
  <si>
    <t>Efficiency</t>
  </si>
  <si>
    <t>Difference</t>
  </si>
  <si>
    <t>reference_unit_size</t>
  </si>
  <si>
    <t>cost_base_year</t>
  </si>
  <si>
    <t>trl_(1-9)</t>
  </si>
  <si>
    <t>overall_efficiency</t>
  </si>
  <si>
    <t>carriers_in</t>
  </si>
  <si>
    <t>main_input</t>
  </si>
  <si>
    <t>ratios_in</t>
  </si>
  <si>
    <t>units_in</t>
  </si>
  <si>
    <t>carriers_out</t>
  </si>
  <si>
    <t>SwissX_carriers_out</t>
  </si>
  <si>
    <t>main_out</t>
  </si>
  <si>
    <t>SwissX_ratios_out</t>
  </si>
  <si>
    <t>units_out</t>
  </si>
  <si>
    <t>theoretical_efficiency</t>
  </si>
  <si>
    <t>operating_temperature_c</t>
  </si>
  <si>
    <t>min_installation_size</t>
  </si>
  <si>
    <t>lifetime_yr</t>
  </si>
  <si>
    <t>capex_one_time_eur</t>
  </si>
  <si>
    <t>capex_power_capacity_eur_per_kw</t>
  </si>
  <si>
    <t>opex_one_time_eur</t>
  </si>
  <si>
    <t>opex_fix_pct_of_capex</t>
  </si>
  <si>
    <t>opex_fix_power_capacity_eur_per_kw_yr</t>
  </si>
  <si>
    <t>opex_energy_eur_per_unit</t>
  </si>
  <si>
    <t>discount_rate_pct</t>
  </si>
  <si>
    <t>uncertainty_rating</t>
  </si>
  <si>
    <t>energy_balance_error_pct</t>
  </si>
  <si>
    <t>mass_balance_error_pct</t>
  </si>
  <si>
    <t>balance_pass_flag</t>
  </si>
  <si>
    <t>list_of_source_id</t>
  </si>
  <si>
    <t>includedInDatastructures_flag</t>
  </si>
  <si>
    <t>Robin</t>
  </si>
  <si>
    <t>Partha</t>
  </si>
  <si>
    <t>T_C_Conv_CarbonCapture_Amine_2030</t>
  </si>
  <si>
    <t>Amine_Washing_CO2_2030</t>
  </si>
  <si>
    <t>Amine Absorber</t>
  </si>
  <si>
    <t>Plant ready to operate</t>
  </si>
  <si>
    <t>CO2Fluegas, El13, ThHt</t>
  </si>
  <si>
    <t>1, 0.303, 0.71</t>
  </si>
  <si>
    <t>kg, kWh, kWh</t>
  </si>
  <si>
    <t>kg</t>
  </si>
  <si>
    <t>20000 kg/h</t>
  </si>
  <si>
    <t>2800 CHF/kg/h</t>
  </si>
  <si>
    <t>151 CHF/kg/h</t>
  </si>
  <si>
    <t>0.0056 CHF/kg</t>
  </si>
  <si>
    <t>Medium</t>
  </si>
  <si>
    <t>market for monoethanolamine; GLO</t>
  </si>
  <si>
    <t>"capex_power_capacity_eur_per_kw", "opex_one_time_eur", "overall_efficiency", "opex_energy_eur_per_unit", "lifetime_yr", "ratios_in", "ratios_out": AECOM_2022; "lca_id", "lca_unit", "embedded_carbon_kgco2e_per_lca_unit",  "lca_scenario": parameters_lca</t>
  </si>
  <si>
    <t>True</t>
  </si>
  <si>
    <t>Other Values in danish_power_agency</t>
  </si>
  <si>
    <t>T_C_Conv_CarbonCapture_Amine_2040</t>
  </si>
  <si>
    <t>Amine_Washing_CO2_2040</t>
  </si>
  <si>
    <t xml:space="preserve">CO2 post combustion capture via Amine washing. Temperature swing process. 2040 reference based on an approx. 150 ktCO2/a plant size. </t>
  </si>
  <si>
    <t>Not in VSE</t>
  </si>
  <si>
    <t>T_C_Conv_CarbonCapture_Amine_2050</t>
  </si>
  <si>
    <t>Amine_Washing_CO2_2050</t>
  </si>
  <si>
    <t xml:space="preserve">CO2 post combustion capture via Amine washing. Temperature swing process. 2050 reference based on an approx. 150 ktCO2/a plant size. </t>
  </si>
  <si>
    <t>Completed</t>
  </si>
  <si>
    <t>Christian</t>
  </si>
  <si>
    <t>T_C_Conv_Ammonia_CCGT_2050</t>
  </si>
  <si>
    <t>Ammonia_CCGT_2050</t>
  </si>
  <si>
    <t>market for gas power plant, combined cycle, 400MW electrical; GLO</t>
  </si>
  <si>
    <t>1216,1714</t>
  </si>
  <si>
    <t>YES</t>
  </si>
  <si>
    <t>"capex_power_capacity_eur_per_kw", "opex_one_time_eur", "overall_efficiency", "opex_energy_eur_per_unit", "lifetime_yr": report_power_to_ammonia_2018; "ratios_in", "ratios_out": conversion_parametrization; "operating_temperature_c": report_danish_energy_2025; "ratios_in", "ratios_out": conversion_parametrization; "lca_id", "lca_unit", "embedded_carbon_kgco2e_per_lca_unit",  "lca_scenario": parameters_lca</t>
  </si>
  <si>
    <t>Eleonora</t>
  </si>
  <si>
    <t>T_C_Conv_Ammonia_HaberBosch_2050</t>
  </si>
  <si>
    <t>Ammonia_HaberBosch_2050</t>
  </si>
  <si>
    <t>Ammonia synthesis (Haber Bosch process)</t>
  </si>
  <si>
    <t>H2, N2</t>
  </si>
  <si>
    <t>1, 0.139</t>
  </si>
  <si>
    <t>kWh, kg</t>
  </si>
  <si>
    <t>NH3, ThPhII</t>
  </si>
  <si>
    <t>0.879, 0.127</t>
  </si>
  <si>
    <t>kWh, kWh</t>
  </si>
  <si>
    <t>ammonia synthesis catalyst production; GLO</t>
  </si>
  <si>
    <t>178, 822</t>
  </si>
  <si>
    <t>"capex_power_capacity_eur_per_kw", "opex_one_time_eur", "overall_efficiency", "opex_energy_eur_per_unit", "lifetime_yr":report_power_to_ammonia_2018; "ratios_in", "ratios_out": conversion_parametrization; "operating_temperature_c": report_danish_energy_2025; "ratios_in", "ratios_out": conversion_parametrization; "lca_id", "lca_unit", "embedded_carbon_kgco2e_per_lca_unit",  "lca_scenario": parameters_lca</t>
  </si>
  <si>
    <t>T_C_Conv_Ammonia_OCGT_2050</t>
  </si>
  <si>
    <t>Ammonia_OCGT_2050</t>
  </si>
  <si>
    <t>micro gas turbine production, 100kW electrical; CH</t>
  </si>
  <si>
    <t>1216, 1714</t>
  </si>
  <si>
    <t>Carbon black production</t>
  </si>
  <si>
    <t>Cbio</t>
  </si>
  <si>
    <t>8000 CHF/kg/h</t>
  </si>
  <si>
    <t>200 CHF/kg/h</t>
  </si>
  <si>
    <t>High</t>
  </si>
  <si>
    <t xml:space="preserve"> "capex_power_capacity_eur_per_kw", "opex_one_time_eur", "lifetime_yr": biochar_jcp_2025 "overall_efficiency": missing; "ratios_in", "ratios_out": EP2050+Exkurs; "lca_id", "lca_unit", "embedded_carbon_kgco2e_per_lca_unit",  "lca_scenario": missing</t>
  </si>
  <si>
    <t>CAPEX, OPEX Values different in Danish Energy report</t>
  </si>
  <si>
    <t>T_C_Conv_CarbonCapture_DacAds_2030</t>
  </si>
  <si>
    <t>CarbonCapture_Direct_2030</t>
  </si>
  <si>
    <t>Direct air capture using adsorption technology (2030 and 2040).</t>
  </si>
  <si>
    <t>ThHt, El47</t>
  </si>
  <si>
    <t>9600 CHF/kg/h</t>
  </si>
  <si>
    <t>direct air capture system, sorbent-based, 100ktCO2; RER</t>
  </si>
  <si>
    <t>"capex_power_capacity_eur_per_kw", "opex_one_time_eur", "overall_efficiency", "opex_energy_eur_per_unit", "lifetime_yr": Allgoewer_2024 ; "ratios_in", "ratios_out": Allgoewer_2024; "lca_id", "lca_unit", "embedded_carbon_kgco2e_per_lca_unit",  "lca_scenario": parameters_lca</t>
  </si>
  <si>
    <t>In 2030-2040, I would assume you need per each ton of CO2, 0.48 MWh of electricity and 2.53 MWh of heat (100 °C). In 2050, I would assume them to be respectively 0.38 and 1.5. For what regards the CAPEX costs. The CAPEX of the plant for a size of 360 kt/y is 362 MEur for 2030-2040 and reduces to as low as 84 MEur for 2050.  These are all the average values from Allgower et al. 2024. Important to add a sorbent replacement opex cost: 7.5 kg of sorbent are disposed of per t of CO2 in 2030-2040 and become 3 kg per t in 2050. The cost of the sorbent is 21.5 eur/kg in 2030-2040 and reduces to 7.6 eur/kg in 2050</t>
  </si>
  <si>
    <t>Value from Review:
Value from VSE on the right
"CCS DAC Schweiz"</t>
  </si>
  <si>
    <t>T_C_Conv_CarbonCapture_DacAds_2040</t>
  </si>
  <si>
    <t>CarbonCapture_Direct_2040</t>
  </si>
  <si>
    <t>Direct air capture using adsorption technology (2040).</t>
  </si>
  <si>
    <t>False</t>
  </si>
  <si>
    <t>T_C_Conv_CarbonCapture_DacAds_2050</t>
  </si>
  <si>
    <t>CarbonCapture_Direct_2050</t>
  </si>
  <si>
    <t>Direct air capture using adsorption technology (2050).</t>
  </si>
  <si>
    <t>T_C_Conv_CarbonCapture_Hpc_2030</t>
  </si>
  <si>
    <t>CarbonCapture_PressureSwing_2030</t>
  </si>
  <si>
    <t>Carbonate Cycling</t>
  </si>
  <si>
    <t>1, 0.52, 0.024</t>
  </si>
  <si>
    <t>2500 CHF/kg/h</t>
  </si>
  <si>
    <t>139 CHF/kg/h</t>
  </si>
  <si>
    <t>0.0022 CHF/kg</t>
  </si>
  <si>
    <t>potassium carbonate production, from potassium hydroxide; GLO</t>
  </si>
  <si>
    <t>T_C_Conv_CarbonCapture_Hpc_2040</t>
  </si>
  <si>
    <t>CarbonCapture_PressureSwing_2040</t>
  </si>
  <si>
    <t>T_C_Conv_CarbonCapture_Hpc_2050</t>
  </si>
  <si>
    <t>CarbonCapture_PressureSwing_2050</t>
  </si>
  <si>
    <t xml:space="preserve">CO2 post combustion capture via Hot-Potassium Carbonate cycling. Pressure swing process. 2050 reference based on an approx. 150 ktCO2/a plant size. </t>
  </si>
  <si>
    <t>CO2, El13, ThHt</t>
  </si>
  <si>
    <t>T_C_Conv_Elec_CH4_Ccgt_2050</t>
  </si>
  <si>
    <t>CH4_CCGT_2050</t>
  </si>
  <si>
    <t>Methane-fueled CCGT with carbon capture and storage (CCS) (2030).</t>
  </si>
  <si>
    <t>Low</t>
  </si>
  <si>
    <t xml:space="preserve"> "overall_efficiency": paper_CCGT_2024; "capex_power_capacity_eur_per_kw", "opex_one_time_eur", "opex_energy_eur_per_unit": report_VSE_2025; "lifetime_yr", "overall_efficiency": report_VSE_2022;; "lca_id", "lca_unit", "embedded_carbon_kgco2e_per_lca_unit",  "lca_scenario": parameters_lca</t>
  </si>
  <si>
    <t>Confirmed in VSE 2025</t>
  </si>
  <si>
    <t>Arash</t>
  </si>
  <si>
    <t>T_C_Conv_Elec_CH4_CCGT + CCS Combo_2050</t>
  </si>
  <si>
    <t>CH4_CCGT_CCS_2050</t>
  </si>
  <si>
    <t>CCGT + CCS</t>
  </si>
  <si>
    <t>El13, CO2Sys</t>
  </si>
  <si>
    <t>0.52, 0.19</t>
  </si>
  <si>
    <t xml:space="preserve"> "capex_power_capacity_eur_per_kw", "opex_one_time_eur", "overall_efficiency", "opex_energy_eur_per_unit": report_VSE_2025; "lifetime_yr": report_VSE_2022; "ratios_in", "ratios_out": source_share; "lca_id", "lca_unit", "embedded_carbon_kgco2e_per_lca_unit",  "lca_scenario": parameters_lca</t>
  </si>
  <si>
    <t>T_C_Conv_Elec_CH4_Chp_2050</t>
  </si>
  <si>
    <t>CH4_CHP_2050</t>
  </si>
  <si>
    <t>General process unit</t>
  </si>
  <si>
    <t>El47, ThHt</t>
  </si>
  <si>
    <t>0.3, 0.6</t>
  </si>
  <si>
    <t>heat and power co-generation unit construction, 160kW electrical, common components for heat+electricity; RER</t>
  </si>
  <si>
    <t>What size do the numbers refer to?</t>
  </si>
  <si>
    <t>T_C_Conv_Methane_Digestion_BioWet_CH4_2030</t>
  </si>
  <si>
    <t>CH4_Digestion_2030</t>
  </si>
  <si>
    <t>Anaerobic Digester</t>
  </si>
  <si>
    <t>BioWet, H2</t>
  </si>
  <si>
    <t>1, 0.378</t>
  </si>
  <si>
    <t>0.63</t>
  </si>
  <si>
    <t>anaerobic digestion plant construction, agricultural; CH</t>
  </si>
  <si>
    <t xml:space="preserve"> "tech_maturity":paper_biogas; "capex_power_capacity_eur_per_kw", "opex_one_time_eur": report_danish_energy_2025; "lifetime_yr":report_VSE_2022;  "overall_efficiency": report_danish_energy_2025; "ratios_in", "ratios_out": source_share; "lca_id", "lca_unit", "embedded_carbon_kgco2e_per_lca_unit",  "lca_scenario": parameters_lca</t>
  </si>
  <si>
    <t>"overall_efficiency": Values for maize =0.66, green beet =0.64 , strass=0.68 , straw = 0.55 . Average taken for value</t>
  </si>
  <si>
    <t>T_C_Conv_Methane_Digestion_BioWet_CH4_2040</t>
  </si>
  <si>
    <t>CH4_Digestion_2040</t>
  </si>
  <si>
    <t>T_C_Conv_Methane_Digestion_BioWet_CH4_2050</t>
  </si>
  <si>
    <t>CH4_Digestion_2050</t>
  </si>
  <si>
    <t>T_C_Conv_Elec_FuelcellCH4_El47_2030</t>
  </si>
  <si>
    <t>CH4_Fuelcell_2030</t>
  </si>
  <si>
    <t>Methane-fueled fuel cell electricity generation at El47 (2030).</t>
  </si>
  <si>
    <t>0.58, 0.28</t>
  </si>
  <si>
    <t>fuel cell production, solid oxide, 125kW electrical, future; CH</t>
  </si>
  <si>
    <t>"capex_power_capacity_eur_per_kw", "opex_one_time_eur", "overall_efficiency", "lifetime_yr": report_jrc_2021; "ratios_in", "ratios_out": source_share  ; "lca_id", "lca_unit", "embedded_carbon_kgco2e_per_lca_unit",  "lca_scenario": parameters_lca</t>
  </si>
  <si>
    <t>What's the difference with line 46 (ID=T_C_Conv_Elec_FuelCell_ElBdg_2030)? Useful ref: https://publications.jrc.ec.europa.eu/repository/bitstream/JRC125018/stationary_kpi_report_-_18052021_-_public_version_with_identifiers.pdf</t>
  </si>
  <si>
    <t>VALUE FROM REVIEW</t>
  </si>
  <si>
    <t>-</t>
  </si>
  <si>
    <t>T_C_Conv_Elec_FuelcellCH4_ElBdg_2030</t>
  </si>
  <si>
    <t>CH4_Fuelcell_Buildings_2030</t>
  </si>
  <si>
    <t>ElBdg, ThBdg</t>
  </si>
  <si>
    <t>0.45, 0.43</t>
  </si>
  <si>
    <t>"capex_power_capacity_eur_per_kw", "opex_one_time_eur", "overall_efficiency", "opex_energy_eur_per_unit", "lifetime_yr": report_jrc_2021; "ratios_in", "ratios_out": source_share  ; "lca_id", "lca_unit", "embedded_carbon_kgco2e_per_lca_unit",  "lca_scenario": parameters_lca</t>
  </si>
  <si>
    <t>What's the difference with line 37 (ID=T_C_Conv_Elec_FuelCell_ElBdg_2030)? Useful ref: https://publications.jrc.ec.europa.eu/repository/bitstream/JRC125018/stationary_kpi_report_-_18052021_-_public_version_with_identifiers.pdf</t>
  </si>
  <si>
    <t>VALUE FROM REVIEW
No specific value for electricity generation via methane fuel cell in VSA</t>
  </si>
  <si>
    <t>T_C_Conv_Thermal_ThermalBdg_CH4_2020</t>
  </si>
  <si>
    <t>CH4_Heating_Buildings_2020</t>
  </si>
  <si>
    <t>market for gas boiler; GLO</t>
  </si>
  <si>
    <t xml:space="preserve"> "capex_power_capacity_eur_per_kw", "opex_one_time_eur", "lifetime_yr": report_VSE_2022; "overall_efficiency", "opex_energy_eur_per_unit": report_VSE_2025; "ratios_in", "ratios_out": source_share; "lca_id", "lca_unit", "embedded_carbon_kgco2e_per_lca_unit",  "lca_scenario": parameters_lca</t>
  </si>
  <si>
    <t>No value in VSA</t>
  </si>
  <si>
    <t>T_C_Conv_Thermal_ThermalBdg_CH4_2030</t>
  </si>
  <si>
    <t>CH4_Heating_Buildings_2030</t>
  </si>
  <si>
    <t>T_C_Conv_Thermal_ThermalBdg_CH4_2040</t>
  </si>
  <si>
    <t>CH4_Heating_Buildings_2040</t>
  </si>
  <si>
    <t xml:space="preserve"> "capex_power_capacity_eur_per_kw", "opex_one_time_eur", "lifetime_yr","overall_efficiency", "opex_energy_eur_per_unit": report_VSE_2025; "ratios_in", "ratios_out": source_share; "lca_id", "lca_unit", "embedded_carbon_kgco2e_per_lca_unit",  "lca_scenario": parameters_lca</t>
  </si>
  <si>
    <t>T_C_Conv_Thermal_ThermalBdg_CH4_2050</t>
  </si>
  <si>
    <t>CH4_Heating_Buildings_2050</t>
  </si>
  <si>
    <t xml:space="preserve"> "capex_power_capacity_eur_per_kw", "opex_one_time_eur", "lifetime_yr","overall_efficiency", "opex_energy_eur_per_unit": report_VSE_2025, linear_interpolation_2020_2050; "ratios_in", "ratios_out": source_share; "lca_id", "lca_unit", "embedded_carbon_kgco2e_per_lca_unit",  "lca_scenario": parameters_lca</t>
  </si>
  <si>
    <t>T_C_Conv_Thermal_ThermalPhII_CH4_2020</t>
  </si>
  <si>
    <t>CH4_Heating_ThermalPowerPlants_2020</t>
  </si>
  <si>
    <t>Gasfired Boiler</t>
  </si>
  <si>
    <t xml:space="preserve"> "capex_power_capacity_eur_per_kw", "opex_one_time_eur", "overall_efficiency", "opex_energy_eur_per_unit" : report_VSE_2025; "lifetime_yr": report_VSE_2022; "ratios_in", "ratios_out": source_share; "lca_id", "lca_unit", "embedded_carbon_kgco2e_per_lca_unit",  "lca_scenario": parameters_lca</t>
  </si>
  <si>
    <t>T_C_Conv_Thermal_ThermalPhII_CH4_2030</t>
  </si>
  <si>
    <t>CH4_Heating_ThermalPowerPlants_2030</t>
  </si>
  <si>
    <t xml:space="preserve"> "capex_power_capacity_eur_per_kw", "opex_one_time_eur", "overall_efficiency", "opex_energy_eur_per_unit" : report_VSE_2025, linear_interpolation_2020_2050; "lifetime_yr": report_VSE_2022; "ratios_in", "ratios_out": source_share; "lca_id", "lca_unit", "embedded_carbon_kgco2e_per_lca_unit",  "lca_scenario": parameters_lca</t>
  </si>
  <si>
    <t>T_C_Conv_Thermal_ThermalPhII_CH4_2040</t>
  </si>
  <si>
    <t>CH4_Heating_ThermalPowerPlants_2040</t>
  </si>
  <si>
    <t>T_C_Conv_Thermal_ThermalPhII_CH4_2050</t>
  </si>
  <si>
    <t>CH4_Heating_ThermalPowerPlants_2050</t>
  </si>
  <si>
    <t>T_C_Conv_Methane_Hydrogenation_CO2_Ch4_2020</t>
  </si>
  <si>
    <t>CH4_Hydrogenation_2020</t>
  </si>
  <si>
    <t>Thermo-catalytic methanation reactor</t>
  </si>
  <si>
    <t>H2, CH4</t>
  </si>
  <si>
    <t>H2, CO2Sys</t>
  </si>
  <si>
    <t>1, 0.164</t>
  </si>
  <si>
    <t>Ch4, ThHt, H2O</t>
  </si>
  <si>
    <t>CH4, ThHt</t>
  </si>
  <si>
    <t>0.83, 0.171, 0.134</t>
  </si>
  <si>
    <t>0.83, 0.171</t>
  </si>
  <si>
    <t>kWh, kWh, kg</t>
  </si>
  <si>
    <t>chemical factory construction, organics; RER</t>
  </si>
  <si>
    <t>377, 1746</t>
  </si>
  <si>
    <t>"tech_maturity" ,"overall_efficiency", "lifetime_yr", "capex_power_capacity_eur_per_kw", "opex_one_time_eur", "reference_unit_size": paper_müller_PowerX_2025; "ratios_in", "ratios_out": conversion_parametrization;; "lca_id", "lca_unit", "embedded_carbon_kgco2e_per_lca_unit",  "lca_scenario": parameters_lca</t>
  </si>
  <si>
    <t>Differernt from VSE 2025</t>
  </si>
  <si>
    <t>T_C_Conv_Methane_Hydrogenation_CO2_Ch4_2030</t>
  </si>
  <si>
    <t>CH4_Hydrogenation_2030</t>
  </si>
  <si>
    <t>"tech_maturity", "overall_efficiency", "lifetime_yr", "capex_power_capacity_eur_per_kw", "opex_one_time_eur", "reference_unit_size": paper_müller_PowerX_2025; "ratios_in", "ratios_out": conversion_parametrization;; "lca_id", "lca_unit", "embedded_carbon_kgco2e_per_lca_unit",  "lca_scenario": parameters_lca</t>
  </si>
  <si>
    <t>T_C_Conv_Methane_Hydrogenation_CO2_Ch4_2040</t>
  </si>
  <si>
    <t>CH4_Hydrogenation_2040</t>
  </si>
  <si>
    <t>T_C_Conv_Methane_Hydrogenation_CO2_Ch4_2050</t>
  </si>
  <si>
    <t>CH4_Hydrogenation_2050</t>
  </si>
  <si>
    <t>T_C_Conv_Elec_CH4_Ocgt_2050</t>
  </si>
  <si>
    <t>CH4_OCGT_2050</t>
  </si>
  <si>
    <t>Methane-fueled open cycle gas turbine (OCGT) electricity generation (2030).</t>
  </si>
  <si>
    <t>0.42</t>
  </si>
  <si>
    <t>Updated in line with VSE 2025</t>
  </si>
  <si>
    <t>NO Sources Found; "ratios_in", "ratios_out": source_shares; "lca_id", "lca_unit", "embedded_carbon_kgco2e_per_lca_unit",  "lca_scenario": parameters_lca</t>
  </si>
  <si>
    <t>T_C_Net_CarbonDioxide_Pipeline_2050 (T_C_Net_CarbonDioxide_CO2Sys_CO2Exp)</t>
  </si>
  <si>
    <t>CO2_Pipeline_2050</t>
  </si>
  <si>
    <t>Jonas</t>
  </si>
  <si>
    <t>NO Sources Found; "lca_id", "lca_unit", "embedded_carbon_kgco2e_per_lca_unit",  "lca_scenario": parameters_lca</t>
  </si>
  <si>
    <t xml:space="preserve"> </t>
  </si>
  <si>
    <t>CO2_RWGS_CO_</t>
  </si>
  <si>
    <t>CO2Sys, El47</t>
  </si>
  <si>
    <t>1, 4</t>
  </si>
  <si>
    <t>kg, kWh</t>
  </si>
  <si>
    <t>0.625</t>
  </si>
  <si>
    <t>electrolyzer production, 1MWe, SOEC, Stack; RER</t>
  </si>
  <si>
    <t>CAPEX: 95.5 Meur for a capacity of 229.3 ktCO/y. It requires 6.3 kWh of electricity per t of CO. Efficiency: 0.625 kg CO/kg CO2</t>
  </si>
  <si>
    <t>VALUE FROM REVIEW
VSE: Fischer Tropsch Reaction on the right</t>
  </si>
  <si>
    <t>"ratios_in", "ratios_out": source_shares; "lca_id", "lca_unit", "embedded_carbon_kgco2e_per_lca_unit",  "lca_scenario": parameters_lca</t>
  </si>
  <si>
    <t>T_C_NetCoupled_Net_Elec_El47_El13_2020</t>
  </si>
  <si>
    <t>Coupled_Electricity_2020</t>
  </si>
  <si>
    <t xml:space="preserve"> "capex_power_capacity_eur_per_kw", "opex_one_time_eur", "overall_efficiency", "opex_energy_eur_per_unit", "lifetime_yr", "trl_(1-9): report_VSE_2025; "ratios_in", "ratios_out": source_share; "lca_id", "lca_unit", "embedded_carbon_kgco2e_per_lca_unit",  "lca_scenario": parameters_lca</t>
  </si>
  <si>
    <t>From the data shared by Turhan previously range of transmission capacity (MVA): 216-100000. Range of line upgrade cost (CHF/MVA) 0.020954-1025600. Average line upgrade cost (CHF/MVA): 186072.</t>
  </si>
  <si>
    <t>T_C_NetCoupled_Net_Elec_El47_El13_2050</t>
  </si>
  <si>
    <t>Coupled_Electricity_2050</t>
  </si>
  <si>
    <t>T_C_NetCoupled_Elec_ElBdg_El47_2020</t>
  </si>
  <si>
    <t>Coupled_Electricity_Buildings_2020</t>
  </si>
  <si>
    <t>PSI does have any data to share for distribuition lines</t>
  </si>
  <si>
    <t>T_C_NetCoupled_Elec_ElBdg_El47_2050</t>
  </si>
  <si>
    <t>Coupled_Electricity_Buildings_2050</t>
  </si>
  <si>
    <t>T_C_NetCoupled_Elec_ElRest_El47_2020</t>
  </si>
  <si>
    <t>Coupled_Electricity_Node47_ToRest_2050</t>
  </si>
  <si>
    <t>T_C_NetCoupled_Elec_ElRest_El47_2050</t>
  </si>
  <si>
    <t>T_C_Conv_Thermal_Csw_ThPhII_2020</t>
  </si>
  <si>
    <t>CSW_Thermal_2020</t>
  </si>
  <si>
    <t xml:space="preserve"> "capex_power_capacity_eur_per_kw", "opex_one_time_eur", "opex_energy_eur_per_unit": report_VSE_2025; "lifetime_yr", "overall_efficiency": report_VSE_2022; "ratios_in", "ratios_out": source_share; "lca_id", "lca_unit", "embedded_carbon_kgco2e_per_lca_unit",  "lca_scenario": parameters_lca</t>
  </si>
  <si>
    <t>T_C_Conv_Thermal_Csw_ThPhII_2050</t>
  </si>
  <si>
    <t>CSW_Thermal_2050</t>
  </si>
  <si>
    <t>T_C_Conv_Thermal_ThermalBdg_El_2020</t>
  </si>
  <si>
    <t>Electric_Heating_Buildings_2020</t>
  </si>
  <si>
    <t>auxiliary heating unit production, electric, 5kW; CH</t>
  </si>
  <si>
    <t xml:space="preserve"> "capex_power_capacity_eur_per_kw", "opex_one_time_eur", "opex_energy_eur_per_unit": report_VSE_2025; "lifetime_yr": report_VSE_2022; "ratios_in", "ratios_out": source_share; "lca_id", "lca_unit", "embedded_carbon_kgco2e_per_lca_unit",  "lca_scenario": parameters_lca</t>
  </si>
  <si>
    <t>T_C_Conv_Thermal_ThermalBdg_El_2030</t>
  </si>
  <si>
    <t>Electric_Heating_Buildings_2030</t>
  </si>
  <si>
    <t xml:space="preserve"> "capex_power_capacity_eur_per_kw", "opex_one_time_eur", "opex_energy_eur_per_unit": report_VSE_2025, linear_interpolation_2020_2050; "lifetime_yr": report_VSE_2022; "ratios_in", "ratios_out": source_share; "lca_id", "lca_unit", "embedded_carbon_kgco2e_per_lca_unit",  "lca_scenario": parameters_lca</t>
  </si>
  <si>
    <t>T_C_Conv_Thermal_ThermalBdg_El_2040</t>
  </si>
  <si>
    <t>Electric_Heating_Buildings_2040</t>
  </si>
  <si>
    <t>T_C_Conv_Thermal_ThermalBdg_El_2050</t>
  </si>
  <si>
    <t>Electric_Heating_Buildings_2050</t>
  </si>
  <si>
    <t>T_C_Conv_Thermal_ThermalPhII_El_2020</t>
  </si>
  <si>
    <t>Electric_Heating_ThermalPowerPlants_2020</t>
  </si>
  <si>
    <t xml:space="preserve"> "capex_power_capacity_eur_per_kw", "opex_one_time_eur", "lifetime_yr", "opex_energy_eur_per_unit": report_VSE_2025; "overall_efficiency": report_VSE_2022; "ratios_in", "ratios_out": source_share; "lca_id", "lca_unit", "embedded_carbon_kgco2e_per_lca_unit",  "lca_scenario": parameters_lca</t>
  </si>
  <si>
    <t>T_C_Conv_Thermal_ThermalPhII_El_2030</t>
  </si>
  <si>
    <t>Electric_Heating_ThermalPowerPlants_2030</t>
  </si>
  <si>
    <t xml:space="preserve"> "capex_power_capacity_eur_per_kw", "opex_one_time_eur", "lifetime_yr", "opex_energy_eur_per_unit": report_VSE_2025, linear_interpolation_2020_2050; "overall_efficiency": report_VSE_2022; "ratios_in", "ratios_out": source_share; "lca_id", "lca_unit", "embedded_carbon_kgco2e_per_lca_unit",  "lca_scenario": parameters_lca</t>
  </si>
  <si>
    <t>T_C_Conv_Thermal_ThermalPhII_El_2040</t>
  </si>
  <si>
    <t>Electric_Heating_ThermalPowerPlants_2040</t>
  </si>
  <si>
    <t>T_C_Conv_Thermal_ThermalPhII_El_2050</t>
  </si>
  <si>
    <t>Electric_Heating_ThermalPowerPlants_2050</t>
  </si>
  <si>
    <t>T_C_Net_Elec_El13_El47_2020</t>
  </si>
  <si>
    <t>Electrical_Transmission_2020</t>
  </si>
  <si>
    <t>transformer production, high voltage use; GLO</t>
  </si>
  <si>
    <t>From the data shared by Turhan previously range of transmission line capacity (MVA): 216-100000. Range of line upgrade cost (CHF/MVA) 0.020954-1025600. Average line upgrade cost (CHF/MVA): 186072.</t>
  </si>
  <si>
    <t>T_C_Net_Elec_El13_El47_2040</t>
  </si>
  <si>
    <t>Electrical_Transmission_2030</t>
  </si>
  <si>
    <t xml:space="preserve"> "capex_power_capacity_eur_per_kw", "opex_one_time_eur", "overall_efficiency", "opex_energy_eur_per_unit", "lifetime_yr", "trl_(1-9): report_VSE_2025, linear_interpolation_2020_2050; "ratios_in", "ratios_out": source_share; "lca_id", "lca_unit", "embedded_carbon_kgco2e_per_lca_unit",  "lca_scenario": parameters_lca</t>
  </si>
  <si>
    <t>T_C_Net_Elec_El13_El47_2030</t>
  </si>
  <si>
    <t>Electrical_Transmission_2040</t>
  </si>
  <si>
    <t>T_C_Net_Elec_El13_El47_2050</t>
  </si>
  <si>
    <t>Electrical_Transmission_2050</t>
  </si>
  <si>
    <t>T_C_Net_Elec_El47_ElBdg_2020</t>
  </si>
  <si>
    <t>Electricity_Buildings_2020</t>
  </si>
  <si>
    <t>distribution network construction, electricity, low voltage; CH</t>
  </si>
  <si>
    <t>T_C_Net_Elec_El47_ElBdg_2030</t>
  </si>
  <si>
    <t>Electricity_Buildings_2030</t>
  </si>
  <si>
    <t>T_C_Net_Elec_El47_ElBdg_2040</t>
  </si>
  <si>
    <t>Electricity_Buildings_2040</t>
  </si>
  <si>
    <t>T_C_Net_Elec_El47_ElBdg_2050</t>
  </si>
  <si>
    <t>Electricity_Buildings_2050</t>
  </si>
  <si>
    <t>Electricity_Node47_ToRest_2020</t>
  </si>
  <si>
    <t>T_C_Net_Elec_El47_ElRest_2030</t>
  </si>
  <si>
    <t>Electricity_Node47_ToRest_2030</t>
  </si>
  <si>
    <t>T_C_Net_Elec_El47_ElRest_2040</t>
  </si>
  <si>
    <t>Electricity_Node47_ToRest_2040</t>
  </si>
  <si>
    <t>T_C_Net_Elec_El47_ElRest_2050</t>
  </si>
  <si>
    <t>Electricity_Node47_ToRest_2050</t>
  </si>
  <si>
    <t>T_C_Conv_Thermal_ThermalBdg_ElBdg_ThSc_2020</t>
  </si>
  <si>
    <t>Electro_ACs_2020</t>
  </si>
  <si>
    <t>2.8</t>
  </si>
  <si>
    <t>heat pump production, diffusion absorption, 4kW, future; CH</t>
  </si>
  <si>
    <t>T_C_Conv_Thermal_ThermalBdg_ElBdg_ThSc_2030</t>
  </si>
  <si>
    <t>Electro_ACs_2030</t>
  </si>
  <si>
    <t>4.2</t>
  </si>
  <si>
    <t>T_C_Conv_Thermal_ThermalBdg_ElBdg_ThSc_2040</t>
  </si>
  <si>
    <t>Electro_ACs_2040</t>
  </si>
  <si>
    <t>T_C_Conv_Thermal_ThermalBdg_ElBdg_ThSc_2050</t>
  </si>
  <si>
    <t>Electro_ACs_2050</t>
  </si>
  <si>
    <t>T_C_Conv_Elec_Geothermal_Chp_2050</t>
  </si>
  <si>
    <t>Geothermal_CHP_2050</t>
  </si>
  <si>
    <t>Geothermal Powerplant</t>
  </si>
  <si>
    <t>0.1, 0.7</t>
  </si>
  <si>
    <t>geothermal power plant construction; CH</t>
  </si>
  <si>
    <t xml:space="preserve"> "lifetime_yr", "capex_power_capacity_eur_per_kw", "opex_one_time_eur", "opex_energy_eur_per_unit": report_VSE_2025; "ratios_in", "ratios_out": source_share; "lca_id", "lca_unit", "embedded_carbon_kgco2e_per_lca_unit",  "lca_scenario": parameters_lca; "overall_efficiency": assumption_reFuelWP3_20205</t>
  </si>
  <si>
    <t>Efficiency of 20% electrical and 70% thermal is much to high. If electrical output is maximized there is no useful heat left, it goes to a condenser and to the environment</t>
  </si>
  <si>
    <t>T_C_Conv_Elec_H2_Ccgt_2050</t>
  </si>
  <si>
    <t>H2_CCGT_2050</t>
  </si>
  <si>
    <t>Hydrogen-fueled combined cycle gas turbine (CCGT) electricity generation (2050).</t>
  </si>
  <si>
    <t>auto-thermal reforming-hydrogen GT power plant, 400MWe; RER</t>
  </si>
  <si>
    <t>"overall_efficiency": paper_CCGT_2024; "capex_power_capacity_eur_per_kw", "opex_one_time_eur", "opex_energy_eur_per_unit": report_VSE_2025; "lifetime_yr": report_VSE_2022; "ratios_in", "ratios_out": source_share; "lca_id", "lca_unit", "embedded_carbon_kgco2e_per_lca_unit",  "lca_scenario": parameters_lca</t>
  </si>
  <si>
    <t xml:space="preserve">Not sure where the CAPEX numbers come from. </t>
  </si>
  <si>
    <t>T_C_Conv_Methanol_Hydrogenation_H2_MeOH_2020</t>
  </si>
  <si>
    <t>H2_CO2_Hydrogenation_Methanol_2020</t>
  </si>
  <si>
    <t>1, 0.219</t>
  </si>
  <si>
    <t>MeOH, ThHt</t>
  </si>
  <si>
    <t>0.875,0.125</t>
  </si>
  <si>
    <t>methanol production facility, construction; RER</t>
  </si>
  <si>
    <t xml:space="preserve"> "capex_power_capacity_eur_per_kw", "opex_one_time_eur", "lifetime_yr", "overall_efficiency": paper_müller_PowerX_2025; "operating_temperature_c", "opex_energy_eur_per_unit", "trl_(1-9)": report_danish_energy_2025; "ratios_in", "ratios_out": conversion_parametrization; "lca_id", "lca_unit", "embedded_carbon_kgco2e_per_lca_unit",  "lca_scenario": parameters_lca</t>
  </si>
  <si>
    <t>Completed: Correct values from paper_müller_PowerX_2025 added!</t>
  </si>
  <si>
    <t>T_C_Conv_Methanol_Hydrogenation_H2_MeOH_2030</t>
  </si>
  <si>
    <t>H2_CO2_Hydrogenation_Methanol_2030</t>
  </si>
  <si>
    <t>T_C_Conv_Methanol_Hydrogenation_H2_MeOH_2040</t>
  </si>
  <si>
    <t>H2_CO2_Hydrogenation_Methanol_2040</t>
  </si>
  <si>
    <t xml:space="preserve"> "capex_power_capacity_eur_per_kw", "opex_one_time_eur", "lifetime_yr", "overall_efficiency": paper_müller_PowerX_2025, linear_interpolation_2030_2050; "operating_temperature_c", "opex_energy_eur_per_unit", "trl_(1-9)": report_danish_energy_2025; "ratios_in", "ratios_out": conversion_parametrization; "lca_id", "lca_unit", "embedded_carbon_kgco2e_per_lca_unit",  "lca_scenario": parameters_lca</t>
  </si>
  <si>
    <t>H2, COSys</t>
  </si>
  <si>
    <t>T_C_Conv_Methanol_Hydrogenation_H2_MeOH_2050</t>
  </si>
  <si>
    <t>H2_CO2_Hydrogenation_Methanol_2050</t>
  </si>
  <si>
    <t>Viola</t>
  </si>
  <si>
    <t>T_C_Conv_CarbonMonoxide_Rwgs_H2_CO_2030</t>
  </si>
  <si>
    <t>H2_CO2_RWGS_CO_2030</t>
  </si>
  <si>
    <t xml:space="preserve">Reverse water gas shift reaction plant. Emerging technology, 2030. </t>
  </si>
  <si>
    <t>6-7</t>
  </si>
  <si>
    <t>H2, CO2Sys, ThPhII</t>
  </si>
  <si>
    <t>1, 0.656, 0.17</t>
  </si>
  <si>
    <t>kWh, kg, kWh</t>
  </si>
  <si>
    <t>CO, H2O</t>
  </si>
  <si>
    <r>
      <rPr>
        <b/>
        <sz val="12"/>
        <color rgb="FF7030A0"/>
        <rFont val="Aptos"/>
        <family val="2"/>
      </rPr>
      <t>0.417</t>
    </r>
    <r>
      <rPr>
        <sz val="12"/>
        <color rgb="FF7030A0"/>
        <rFont val="Aptos"/>
        <family val="2"/>
      </rPr>
      <t>, 0.268</t>
    </r>
  </si>
  <si>
    <t>kg, kg</t>
  </si>
  <si>
    <t>RWGS tank construction; GLO</t>
  </si>
  <si>
    <t>72, 1571</t>
  </si>
  <si>
    <t>1000, 643</t>
  </si>
  <si>
    <t>"tech_maturity ": paper_RWGS; "capex_power_capacity_eur_per_kw", "opex_one_time_eur", "overall_efficiency", "opex_energy_eur_per_unit", "lifetime_yr":Allgoewer_2024; "ratios_in", "ratios_out": conversion_parametrization; "Operating Temperature": paper_mutschler_2018; "ratios_in", "ratios_out": source_shares; "lca_id", "lca_unit", "embedded_carbon_kgco2e_per_lca_unit",  "lca_scenario": parameters_lca</t>
  </si>
  <si>
    <t>I think to increase usability it would make sense to indicate the inputs and outputs in a given unit as it requires always recalculation if inputs are indicated in "Input shares". According to our calculation this would then be:
0.07 kg H2 / kg CO output 
1.57 kg CO2 /kg CO output
0.52 kWh heat / kg CO output
83% efficiency according to Müller et al., 2025
Also the unit of the CAPEX per capacity is no clear. Then I would need further information how much CO is produced with a given capacity. Why not also there indicate it per kg CO output?</t>
  </si>
  <si>
    <t>T_C_Conv_CarbonMonoxide_Rwgs_H2_CO_2040</t>
  </si>
  <si>
    <t>H2_CO2_RWGS_CO_2040</t>
  </si>
  <si>
    <t>Thermo-catalytic RWGS reactor</t>
  </si>
  <si>
    <t>0.417, 0.268</t>
  </si>
  <si>
    <t>I think to increase usability it would make sense to indicate the inputs and outputs in a given unit as it requires always recalculation if inputs are indicated in "Input shares". According to our calculation this would then be:
0.07 kg H2 / kg CO output 
1.57 kg CO2 /kg CO output
0.52 kWh heat / kg CO output
Also the unit of the CAPEX per capacity is no clear. Then I would need further information how much CO is produced with a given capacity. Why not also there indicate it per kg CO output?</t>
  </si>
  <si>
    <t>T_C_Conv_Hydrogen_Electrolysis_El47_H2_2030</t>
  </si>
  <si>
    <t>H2_Electrolysis_2030</t>
  </si>
  <si>
    <t xml:space="preserve">Electrolysis 2030, Alkaline technology (10 MW) from Danish Energy Reports 2025 is the benchmark </t>
  </si>
  <si>
    <t>electrolyzer production, 1MWe, AEC, BoP + Stack; RER</t>
  </si>
  <si>
    <t xml:space="preserve"> "capex_power_capacity_eur_per_kw", "opex_one_time_eur", "overall_efficiency", "lifetime_yr","opex_energy_eur_per_unit": report_danish_energy_2025; "ratios_in", "ratios_out": source_share; "lca_id", "lca_unit", "embedded_carbon_kgco2e_per_lca_unit",  "lca_scenario": parameters_lca</t>
  </si>
  <si>
    <t>Useful references: https://iea.blob.core.windows.net/assets/89c1e382-dc59-46ca-aa47-9f7d41531ab5/GlobalHydrogenReview2024.pdf; Units: all the units are expressed in kWh--&gt;a bit confusing for chemicals (better kg!). In any case, please specify whether this is referred to LHV or HHV; Benchmarks: I do not understand why the benchmark technologies change with the year, and if so why we don't include PEM electrolysis. Since not mature yet, the assumed values for the SOEC in 2050 can be highly uncertain! I would stick to one technology over the years (for instance PEM) and report the evolution of parameters accordingly. If we want to include SOEC we can include it for 2030. CAPEX costs: in the previous reference, the global average for 2030 is reported at 960 dollars/kW, so the costs for AE look to me a bit high. The costs for SOEC is highly uncertain already nowadays. Lifetime: it can be highly vary with the electrolyser load profile--&gt;specify which load you assume</t>
  </si>
  <si>
    <t>No value in VSA
Value for Electrolysis NE3 on the right</t>
  </si>
  <si>
    <t>T_C_Conv_Hydrogen_Electrolysis_El47_H2_2040</t>
  </si>
  <si>
    <t>H2_Electrolysis_2040</t>
  </si>
  <si>
    <t>Electrolysis 2040, Alkaline technology is the benchmark</t>
  </si>
  <si>
    <t>0.65</t>
  </si>
  <si>
    <t xml:space="preserve"> "capex_power_capacity_eur_per_kw", "opex_one_time_eur", "overall_efficiency", "lifetime_yr", "opex_energy_eur_per_unit": report_danish_energy_2025; "ratios_in", "ratios_out": source_share; "lca_id", "lca_unit", "embedded_carbon_kgco2e_per_lca_unit",  "lca_scenario": parameters_lca</t>
  </si>
  <si>
    <t>T_C_Conv_Hydrogen_Electrolysis_El47_H2_2050</t>
  </si>
  <si>
    <t>H2_Electrolysis_2050</t>
  </si>
  <si>
    <t>Electrolysis 2050, Alkaline technology is the benchmark</t>
  </si>
  <si>
    <t>0.7</t>
  </si>
  <si>
    <t>T_C_Conv_Hydrocarbons_FischerTropsch_C12_2020</t>
  </si>
  <si>
    <t>H2_FischerTropsch_C12_2020</t>
  </si>
  <si>
    <t>0.68-0.74</t>
  </si>
  <si>
    <r>
      <t xml:space="preserve">H2Process, </t>
    </r>
    <r>
      <rPr>
        <b/>
        <sz val="12"/>
        <color theme="1"/>
        <rFont val="Aptos"/>
        <family val="2"/>
      </rPr>
      <t>CO</t>
    </r>
  </si>
  <si>
    <r>
      <t xml:space="preserve">1, </t>
    </r>
    <r>
      <rPr>
        <b/>
        <sz val="12"/>
        <color theme="1"/>
        <rFont val="Aptos"/>
        <family val="2"/>
      </rPr>
      <t>0.2</t>
    </r>
  </si>
  <si>
    <r>
      <t xml:space="preserve">kWh, </t>
    </r>
    <r>
      <rPr>
        <b/>
        <sz val="12"/>
        <color theme="1"/>
        <rFont val="Aptos"/>
        <family val="2"/>
      </rPr>
      <t>kg</t>
    </r>
  </si>
  <si>
    <t>C12, ThHt, H2O</t>
  </si>
  <si>
    <t>C12, ThHt</t>
  </si>
  <si>
    <t>1.243, 0.319, 0.129</t>
  </si>
  <si>
    <t>1.243, 0.16</t>
  </si>
  <si>
    <t>gas-to-liquid plant construction; GLO</t>
  </si>
  <si>
    <t>296, 1973</t>
  </si>
  <si>
    <t>1000, 1269</t>
  </si>
  <si>
    <t xml:space="preserve">  "tech_maturity ": paper_e-fuel production; "capex_power_capacity_eur_per_kw", "opex_one_time_eur", "lifetime_yr", "overall_efficiency": paper_müller_PowerX_2025; "ratios_in", "ratios_out": conversion_parametrization; "Operating Temperature": report_danish_energy_2025; "ratios_in", "ratios_out": conversion_parametrization; "lca_id", "lca_unit", "embedded_carbon_kgco2e_per_lca_unit",  "lca_scenario": parameters_lca; "opex_energy_eur_per_unit": report_VSE_2025</t>
  </si>
  <si>
    <t>Again here we think its not very practicioner frienly if the inputs and outputs are given in shares. We suggest again to indicate it in mass or energy per mass output e.g.:
- 0.59 kg H2/kg C12 output
-3.96 kg CO/kg C12 output
Cost (Müller et al., 2025): 
677-1701 EUR/kWfuel  in 2030
500-957 EUR/kWfuel in 2050</t>
  </si>
  <si>
    <t>T_C_Conv_Hydrocarbons_FischerTropsch_C12_2030</t>
  </si>
  <si>
    <t>H2_FischerTropsch_C12_2030</t>
  </si>
  <si>
    <t>T_C_Conv_Hydrocarbons_FischerTropsch_C12_2040</t>
  </si>
  <si>
    <t>H2_FischerTropsch_C12_2040</t>
  </si>
  <si>
    <t>T_C_Conv_Hydrocarbons_FischerTropsch_C12_2050</t>
  </si>
  <si>
    <t>H2_FischerTropsch_C12_2050</t>
  </si>
  <si>
    <t>T_C_Conv_Hydrocarbons_FischerTropsch_C8_2020</t>
  </si>
  <si>
    <t>H2_FischerTropsch_C8_2020</t>
  </si>
  <si>
    <r>
      <t>1,</t>
    </r>
    <r>
      <rPr>
        <b/>
        <sz val="12"/>
        <color theme="1"/>
        <rFont val="Aptos"/>
        <family val="2"/>
      </rPr>
      <t>0.196</t>
    </r>
  </si>
  <si>
    <t>C8, ThHt, H2O</t>
  </si>
  <si>
    <t>C8, ThHt</t>
  </si>
  <si>
    <t>1.234, 0.316, 0.126</t>
  </si>
  <si>
    <t>1.234, 0.158</t>
  </si>
  <si>
    <t>300, 1962</t>
  </si>
  <si>
    <t>1000,0,1262</t>
  </si>
  <si>
    <t xml:space="preserve"> "tech_maturity ": paper_e-fuel production; "capex_power_capacity_eur_per_kw", "opex_one_time_eur", "lifetime_yr", "overall_efficiency": paper_müller_PowerX_2025; "ratios_in", "ratios_out": conversion_parametrization; "Operating Temperature": report_danish_energy_2025; "ratios_in", "ratios_out": conversion_parametrization; "lca_id", "lca_unit", "embedded_carbon_kgco2e_per_lca_unit",  "lca_scenario": parameters_lca; "opex_energy_eur_per_unit": report_VSE_2025</t>
  </si>
  <si>
    <t>T_C_Conv_Hydrocarbons_FischerTropsch_C8_2030</t>
  </si>
  <si>
    <t>H2_FischerTropsch_C8_2030</t>
  </si>
  <si>
    <t>T_C_Conv_Hydrocarbons_FischerTropsch_C8_2040</t>
  </si>
  <si>
    <t>H2_FischerTropsch_C8_2040</t>
  </si>
  <si>
    <t>T_C_Conv_Hydrocarbons_FischerTropsch_C8_2050</t>
  </si>
  <si>
    <t>H2_FischerTropsch_C8_2050</t>
  </si>
  <si>
    <t>T_C_Conv_Hydrocarbons_FischerTropsch_VSA_2050</t>
  </si>
  <si>
    <t>H2_FischerTroptsch_VSE_C12_2050</t>
  </si>
  <si>
    <t>H2Process, CO</t>
  </si>
  <si>
    <t>1, 0.561</t>
  </si>
  <si>
    <t>0.55, 0.085</t>
  </si>
  <si>
    <t>T_C_Conv_Elec_Fuelcell_H2_El47_2040</t>
  </si>
  <si>
    <t>H2_Fuelcell_2040</t>
  </si>
  <si>
    <t>Electricity generation via fuel cells at node El47 (2040).</t>
  </si>
  <si>
    <t>0.62, 0.26</t>
  </si>
  <si>
    <t xml:space="preserve"> "capex_power_capacity_eur_per_kw", "opex_one_time_eur", "overall_efficiency", "opex_energy_eur_per_unit": report_VSE_2022; "lifetime_yr": report_VSE_2022; "operating_temperature_c": report_jrc_2021; "ratios_in", "ratios_out": source_share; "lca_id", "lca_unit", "embedded_carbon_kgco2e_per_lca_unit",  "lca_scenario": parameters_lca</t>
  </si>
  <si>
    <t>T_C_Conv_Elec_Fuelcell_H2_El47_2050</t>
  </si>
  <si>
    <t>H2_Fuelcell_2050</t>
  </si>
  <si>
    <t>Electricity generation via fuel cells at node El47 (2050).</t>
  </si>
  <si>
    <t>0.65, 0.25</t>
  </si>
  <si>
    <t>What's the difference with line 45 (ID=T_C_Conv_Elec_FuelCell_ElBdg_2050)?; Useful ref: https://publications.jrc.ec.europa.eu/repository/bitstream/JRC125018/stationary_kpi_report_-_18052021_-_public_version_with_identifiers.pdf</t>
  </si>
  <si>
    <t>T_C_Conv_Elec_Fuelcell_ElBdg_2040</t>
  </si>
  <si>
    <t>H2_Fuelcell_Buildings_2040</t>
  </si>
  <si>
    <t>0.47, 0.42</t>
  </si>
  <si>
    <t>"capex_power_capacity_eur_per_kw", "opex_one_time_eur", "overall_efficiency", "opex_energy_eur_per_unit", "lifetime_yr": report_VSE_2022; "ratios_in", "ratios_out": source_share  ; "lca_id", "lca_unit", "embedded_carbon_kgco2e_per_lca_unit",  "lca_scenario": parameters_lca</t>
  </si>
  <si>
    <t>T_C_Conv_Elec_Fuelcell_ElBdg_2050</t>
  </si>
  <si>
    <t>H2_Fuelcell_Buildings_2050</t>
  </si>
  <si>
    <t>Electricity generation via fuel cells in buildings (2050).</t>
  </si>
  <si>
    <t>0.5, 0.4</t>
  </si>
  <si>
    <t>What's the difference with line 36 (ID=T_C_Conv_Elec_FuelCell_El47_2050)? Useful ref: https://publications.jrc.ec.europa.eu/repository/bitstream/JRC125018/stationary_kpi_report_-_18052021_-_public_version_with_identifiers.pdf</t>
  </si>
  <si>
    <t>T_C_Conv_Thermal_ThermalPhII_H2_2050</t>
  </si>
  <si>
    <t>H2_Heating_ThermalPowerPlants_2050</t>
  </si>
  <si>
    <t>Hydrogen Burner</t>
  </si>
  <si>
    <t>T_C_Conv_Elec_H2_Ocgt_2050</t>
  </si>
  <si>
    <t>H2_OCGT_2050</t>
  </si>
  <si>
    <t>Hydrogen-fueled open cycle gas turbine (OCGT) electricity generation (2050).</t>
  </si>
  <si>
    <t>A CCGT should generally be more expensive than a OCGT, and I see no real difference between a CH4 and a H2 turbine.</t>
  </si>
  <si>
    <t>T_C_Coupled_Thermal_ThermalBdg_HpSc_2020</t>
  </si>
  <si>
    <t>Heatpump_Coupled_Buildings_2020</t>
  </si>
  <si>
    <t>"lifetime_yr", "capex_power_capacity_eur_per_kw", "opex_one_time_eur", "opex_energy_eur_per_unit": report_VSE_2025; "ratios_in", "ratios_out": source_share; "lca_id", "lca_unit", "embedded_carbon_kgco2e_per_lca_unit",  "lca_scenario": parameters_lca</t>
  </si>
  <si>
    <t>No value for coupled heat pumps in VSA</t>
  </si>
  <si>
    <t>T_C_Coupled_Thermal_ThermalBdg_HpSc_2050</t>
  </si>
  <si>
    <t>Heatpump_Coupled_Buildings_2050</t>
  </si>
  <si>
    <t>T_C_Conv_Thermal_ThermalBdg_Hp_2020</t>
  </si>
  <si>
    <t>Heatpump_Residential_2020</t>
  </si>
  <si>
    <t>heat pump production, 30kW; RER</t>
  </si>
  <si>
    <t>T_C_Conv_Thermal_ThermalBdg_Hp_2030</t>
  </si>
  <si>
    <t>Heatpump_Residential_2030</t>
  </si>
  <si>
    <t>"lifetime_yr", "capex_power_capacity_eur_per_kw", "opex_one_time_eur", "opex_energy_eur_per_unit": report_VSE_2025, linear_interpolation_2020_2050; "ratios_in", "ratios_out": source_share; "lca_id", "lca_unit", "embedded_carbon_kgco2e_per_lca_unit",  "lca_scenario": parameters_lca</t>
  </si>
  <si>
    <t>T_C_Conv_Thermal_ThermalBdg_Hp_2040</t>
  </si>
  <si>
    <t>Heatpump_Residential_2040</t>
  </si>
  <si>
    <t>T_C_Conv_Thermal_ThermalBdg_Hp_2050</t>
  </si>
  <si>
    <t>Heatpump_Residential_2050</t>
  </si>
  <si>
    <t>T_C_Conv_Hydro_HydroPumped_Pump_2020</t>
  </si>
  <si>
    <t>Hydro_Pumped_Pump_2020</t>
  </si>
  <si>
    <t>Hydro Plant</t>
  </si>
  <si>
    <t>hydropower plant construction, reservoir, alpine region; RER</t>
  </si>
  <si>
    <t xml:space="preserve"> "overall_efficiency":book_hydropower_2020; "capex_power_capacity_eur_per_kw", "opex_one_time_eur", "opex_energy_eur_per_unit": report_VSE_2025; "lifetime_yr": report_VSE_2022; "ratios_in", "ratios_out": source_share; "lca_id", "lca_unit", "embedded_carbon_kgco2e_per_lca_unit",  "lca_scenario": parameters_lca</t>
  </si>
  <si>
    <t xml:space="preserve">Are you modeling pumping and generating as differrent technologies? How these technologies are differrent from Reservoir technologies in the StorTech sheet?
</t>
  </si>
  <si>
    <t>T_C_Conv_Hydro_HydroPumped_Pump_2030</t>
  </si>
  <si>
    <t>Hydro_Pumped_Pump_2030</t>
  </si>
  <si>
    <t xml:space="preserve"> "overall_efficiency":book_hydropower_2020; "capex_power_capacity_eur_per_kw", "opex_one_time_eur", "opex_energy_eur_per_unit": report_VSE_2025, linear_interpolation_2020_2050; "lifetime_yr": report_VSE_2022; "ratios_in", "ratios_out": source_share; "lca_id", "lca_unit", "embedded_carbon_kgco2e_per_lca_unit",  "lca_scenario": parameters_lca</t>
  </si>
  <si>
    <t>T_C_Conv_Hydro_HydroPumped_Pump_2040</t>
  </si>
  <si>
    <t>Hydro_Pumped_Pump_2040</t>
  </si>
  <si>
    <t>T_C_Conv_Hydro_HydroPumped_Pump_2050</t>
  </si>
  <si>
    <t>Hydro_Pumped_Pump_2050</t>
  </si>
  <si>
    <t>T_C_Conv_Hydro_HydroPumped_Turbine_2020</t>
  </si>
  <si>
    <t>Hydro_Pumped_Turbine_2020</t>
  </si>
  <si>
    <t>In literature round trip efficiency of 80% is reported. Investment cost 2000-4000 USD/kW with 17.8-30.4 USD/kW/year, variable OM cost of .512 USD/MWh is reported.In JRC-EU-TIMES investment cost is 2101 EUR/kW, FIXED OM is 21 EUR/kW/year (1% of investment cost). Storage efficiency is 75%, lifetime is 60 years</t>
  </si>
  <si>
    <t>https://www.irena.org/-/media/Files/IRENA/Agency/Publication/2015/IRENA-ETSAP_Tech_Brief_E06_Hydropower.pdf, https://www.pnnl.gov/sites/default/files/media/file/Final%20-%20ESGC%20Cost%20Performance%20Report%2012-11-2020.pdf</t>
  </si>
  <si>
    <t>T_C_Conv_Hydro_HydroPumped_Turbine_2030</t>
  </si>
  <si>
    <t>Hydro_Pumped_Turbine_2030</t>
  </si>
  <si>
    <t>T_C_Conv_Hydro_HydroPumped_Turbine_2040</t>
  </si>
  <si>
    <t>Hydro_Pumped_Turbine_2040</t>
  </si>
  <si>
    <t>T_C_Conv_Hydro_HydroPumped_Turbine_2050</t>
  </si>
  <si>
    <t>Hydro_Pumped_Turbine_2050</t>
  </si>
  <si>
    <t>T_C_Conv_Hydro_HydroRor_Plant_2020</t>
  </si>
  <si>
    <t>Hydro_Run-of-river_2020</t>
  </si>
  <si>
    <t>hydropower plant construction, run-of-river; CH</t>
  </si>
  <si>
    <t>According to this sources , average investment cost for run-of-river plants e.g., small and very small scale hydro plants is 4500 USD/kW, and 5000 USD/kW.  Average operation and maintenance (O&amp;M) costs is between 65-75 USD/kW/Year. Technical lifetime upto 100 years and efficiency upto 92%. In JRC-EU-TIMES the investment cost for Switzerland is 10500 EUR/kW. FIxed OM cost 250 EUR17/kW/year. Life and efficiency are 75 years and 100%. Variable cost is zero.</t>
  </si>
  <si>
    <t>https://www.irena.org/-/media/Files/IRENA/Agency/Publication/2015/IRENA-ETSAP_Tech_Brief_E06_Hydropower.pdf &amp; https://iea-etsap.org/E-TechDS/PDF/E06-hydropower-GS-gct_ADfina_gs.pdf</t>
  </si>
  <si>
    <t>T_C_Conv_Hydro_HydroRor_Plant_2030</t>
  </si>
  <si>
    <t>Hydro_Run-of-river_2030</t>
  </si>
  <si>
    <t>T_C_Conv_Hydro_HydroRor_Plant_2040</t>
  </si>
  <si>
    <t>Hydro_Run-of-river_2040</t>
  </si>
  <si>
    <t>T_C_Conv_Hydro_HydroRor_Plant_2050</t>
  </si>
  <si>
    <t>Hydro_Run-of-river_2050</t>
  </si>
  <si>
    <t>T_C_Conv_Hydro_HydroSMustrun_Turbine_2020</t>
  </si>
  <si>
    <t>Hydro_Storage_Must-run_Turbine_2020</t>
  </si>
  <si>
    <t>Must run should be controlled by the availability factors. Do you intend to include any other technical attributes here? In JRC-EU-TIMES we do not have this distinction.</t>
  </si>
  <si>
    <t>T_C_Conv_Hydro_HydroSMustrun_Turbine_2050</t>
  </si>
  <si>
    <t>Hydro_Storage_Must-run_Turbine_2050</t>
  </si>
  <si>
    <t>T_C_Conv_Hydro_HydroS_Turbine_2020</t>
  </si>
  <si>
    <t>Hydro_Storage_Turbine_2020</t>
  </si>
  <si>
    <t xml:space="preserve">For dam-based hydro average investment cost is 4000 USD/ kW. Average OM cost 60 USD/kW/year. Technical lifetime upto 100 years and efficiency upto 92%. In JRC-EU-TIMES the investment cost is with a range of 3000-4000 EUR/kW. Fixed OM cost is 5.44 EUR/kW/year, Variable OM cost is .611 MEuro/PJ
</t>
  </si>
  <si>
    <t>T_C_Conv_Hydro_HydroS_Turbine_2030</t>
  </si>
  <si>
    <t>Hydro_Storage_Turbine_2030</t>
  </si>
  <si>
    <t>T_C_Conv_Hydro_HydroS_Turbine_2040</t>
  </si>
  <si>
    <t>Hydro_Storage_Turbine_2040</t>
  </si>
  <si>
    <t>T_C_Conv_Hydro_HydroS_Turbine_2050</t>
  </si>
  <si>
    <t>Hydro_Storage_Turbine_2050</t>
  </si>
  <si>
    <t>T_C_Conv_Thermal_ThLt_ThHt_2020</t>
  </si>
  <si>
    <t>IndustrialHeatPump_2020</t>
  </si>
  <si>
    <t>Low-temperature heat upgrade for district heating (2030).</t>
  </si>
  <si>
    <t>Heat Upgrade</t>
  </si>
  <si>
    <t>ElRest, ThLt</t>
  </si>
  <si>
    <t>1, 3</t>
  </si>
  <si>
    <t xml:space="preserve"> "capex_power_capacity_eur_per_kw", "opex_one_time_eur", "opex_energy_eur_per_unit": report_VSE_2025; "lifetime_yr", "overall_efficiency": report_VSE_2025; "ratios_in", "ratios_out": source_share; "lca_id", "lca_unit", "embedded_carbon_kgco2e_per_lca_unit",  "lca_scenario": parameters_lca</t>
  </si>
  <si>
    <t>T_C_Conv_Thermal_ThAmb_ThHt_2030</t>
  </si>
  <si>
    <t>IndustrialHeatPump_2030</t>
  </si>
  <si>
    <t>ElRest, ThAmb</t>
  </si>
  <si>
    <t>1, 1</t>
  </si>
  <si>
    <t>T_C_Conv_Thermal_ThLt_ThHt_2030</t>
  </si>
  <si>
    <t xml:space="preserve"> "capex_power_capacity_eur_per_kw", "opex_one_time_eur", "opex_energy_eur_per_unit": report_VSE_2025, linear_interpolation_2020_2050; "lifetime_yr", "overall_efficiency": report_VSE_2025; "ratios_in", "ratios_out": source_share; "lca_id", "lca_unit", "embedded_carbon_kgco2e_per_lca_unit",  "lca_scenario": parameters_lca</t>
  </si>
  <si>
    <t>T_C_Conv_Thermal_ThAmb_ThHt_2040</t>
  </si>
  <si>
    <t>IndustrialHeatPump_2040</t>
  </si>
  <si>
    <t>Ambient heat extraction for heating (2040).</t>
  </si>
  <si>
    <t>T_C_Conv_Thermal_ThLt_ThHt_2040</t>
  </si>
  <si>
    <t>Low-temperature heat upgrade for district heating (2040).</t>
  </si>
  <si>
    <t>T_C_Conv_Thermal_ThLt_ThHt_2050</t>
  </si>
  <si>
    <t>IndustrialHeatPump_2050</t>
  </si>
  <si>
    <t>Mashael</t>
  </si>
  <si>
    <t>T_C_Conv_Pyrolysis_CH4_CCH4_2050</t>
  </si>
  <si>
    <t>Methane_Tech_Description_2050</t>
  </si>
  <si>
    <t>Methane Pyrolysis into biochar using MBR technology</t>
  </si>
  <si>
    <t>CH4, El13</t>
  </si>
  <si>
    <t>Cbio, H2</t>
  </si>
  <si>
    <t>na, na</t>
  </si>
  <si>
    <t xml:space="preserve"> "capex_power_capacity_eur_per_kw", "opex_one_time_eur", "lifetime_yr", "overall_efficiency": report_danish_energy_2025; "ratios_in", "ratios_out": source_shares; "lca_id", "lca_unit", "embedded_carbon_kgco2e_per_lca_unit",  "lca_scenario": parameters_lca</t>
  </si>
  <si>
    <t>Value for Methane pyrolsis, MBR from danish Energy report</t>
  </si>
  <si>
    <t>T_C_Conv_Elec_Msw_Incinerator_2020</t>
  </si>
  <si>
    <t>MunicipalSolidWaste_Incinerator_Electricity_2020</t>
  </si>
  <si>
    <t>El13, ThHt</t>
  </si>
  <si>
    <t>El13, ThHt, CO2Waste</t>
  </si>
  <si>
    <t>0.2, 0.3</t>
  </si>
  <si>
    <t>0.2, 0.3, 0.381</t>
  </si>
  <si>
    <t>municipal waste incineration facility construction; CH</t>
  </si>
  <si>
    <t>553.45, 787.67</t>
  </si>
  <si>
    <t>1000, 341.12</t>
  </si>
  <si>
    <t>T_C_Conv_Elec_Msw_Incinerator_2050</t>
  </si>
  <si>
    <t>T_C_Conv_Elec_Msw_Incinerator_2030</t>
  </si>
  <si>
    <t>MunicipalSolidWaste_Incinerator_Electricity_2030</t>
  </si>
  <si>
    <t xml:space="preserve"> "capex_power_capacity_eur_per_kw", "opex_one_time_eur", "overall_efficiency", "opex_energy_eur_per_unit": report_VSE_2025, assumption_constant_extrapolation; "lifetime_yr": report_VSE_2022; "ratios_in", "ratios_out": source_share; "lca_id", "lca_unit", "embedded_carbon_kgco2e_per_lca_unit",  "lca_scenario": parameters_lca</t>
  </si>
  <si>
    <t>T_C_Conv_Elec_Msw_Incinerator_2040</t>
  </si>
  <si>
    <t>MunicipalSolidWaste_Incinerator_Electricity_2040</t>
  </si>
  <si>
    <t>T_C_Conv_Thermal_ThermalBdg_C12_2020</t>
  </si>
  <si>
    <t>Oil_Heating_Buildings_2020</t>
  </si>
  <si>
    <t>T_C_Conv_Thermal_ThermalBdg_C12_2050</t>
  </si>
  <si>
    <t>Oil_Heating_Buildings_2050</t>
  </si>
  <si>
    <t>T_C_Conv_Thermal_ThermalPhII_C12_2020</t>
  </si>
  <si>
    <t>Oil_Heating_ThermalPowerPlants_2020</t>
  </si>
  <si>
    <t>Oilfired Boiler</t>
  </si>
  <si>
    <t>T_C_Conv_Thermal_ThermalPhII_C12_2030</t>
  </si>
  <si>
    <t>Oil_Heating_ThermalPowerPlants_2030</t>
  </si>
  <si>
    <t xml:space="preserve"> "capex_power_capacity_eur_per_kw", "opex_one_time_eur", "overall_efficiency", "opex_energy_eur_per_unit" : report_VSE_2025, assumption_constant_extrapolation; "lifetime_yr": report_VSE_2022; "ratios_in", "ratios_out": source_share; "lca_id", "lca_unit", "embedded_carbon_kgco2e_per_lca_unit",  "lca_scenario": parameters_lca</t>
  </si>
  <si>
    <t>T_C_Conv_Thermal_ThermalPhII_C12_2040</t>
  </si>
  <si>
    <t>Oil_Heating_ThermalPowerPlants_2040</t>
  </si>
  <si>
    <t>T_C_Conv_Thermal_ThermalPhII_C12_2050</t>
  </si>
  <si>
    <t>Oil_Heating_ThermalPowerPlants_2050</t>
  </si>
  <si>
    <t>PV_Alpin_2025</t>
  </si>
  <si>
    <t>Solar</t>
  </si>
  <si>
    <t>Alpine PV, from VSE, 2025</t>
  </si>
  <si>
    <t>PV Alpine</t>
  </si>
  <si>
    <t>photovoltaic plant construction, 570kWp, multi-Si, on open ground; GLO</t>
  </si>
  <si>
    <t>"capex_power_capacity_eur_per_kw", "opex_one_time_eur", "overall_efficiency", "opex_energy_eur_per_unit", "lifetime_yr": report_VSE_2022; "lca_id", "lca_unit", "embedded_carbon_kgco2e_per_lca_unit",  "lca_scenario": parameters_lca</t>
  </si>
  <si>
    <t>PV_Alpin_2030</t>
  </si>
  <si>
    <t>PV_Alpin_2040</t>
  </si>
  <si>
    <t>Alpine PV, from VSE, 2040</t>
  </si>
  <si>
    <t>PV_Alpin_2050</t>
  </si>
  <si>
    <t>Alpine PV, from VSE, 2050</t>
  </si>
  <si>
    <t>T_C_Conv_Solar_Pv_Alpin_ETHZ_2025</t>
  </si>
  <si>
    <t>PV_Alpine_ETHZ_2025</t>
  </si>
  <si>
    <t>"capex_power_capacity_eur_per_kw": assumption_PVcostProjection; "opex_one_time_eur": assumption_Empa_PV_OM;; "lca_id", "lca_unit", "embedded_carbon_kgco2e_per_lca_unit",  "lca_scenario": parameters_lca</t>
  </si>
  <si>
    <t>PV_Alpine_ETHZ_2030</t>
  </si>
  <si>
    <t>PV_Alpine_ETHZ_2040</t>
  </si>
  <si>
    <t>PV_Alpine_ETHZ_2050</t>
  </si>
  <si>
    <t>T_C_Sol_Solar_Pv_Roof_SolFlat_2025</t>
  </si>
  <si>
    <t>PV_Roof_Flat_2025</t>
  </si>
  <si>
    <t>PV Roof</t>
  </si>
  <si>
    <t>photovoltaic flat-roof installation, 3kWp, multi-Si, on roof; CH</t>
  </si>
  <si>
    <t>"capex_power_capacity_eur_per_kw", "opex_one_time_eur", "overall_efficiency", "opex_energy_eur_per_unit", "lifetime_yr": report_VSE_2025; "ratios_out": paper_alpinePV_2024;; "lca_id", "lca_unit", "embedded_carbon_kgco2e_per_lca_unit",  "lca_scenario": parameters_lca</t>
  </si>
  <si>
    <t>T_C_Sol_Solar_Pv_Roof_SolFlat_2030</t>
  </si>
  <si>
    <t>PV_Roof_Flat_2030</t>
  </si>
  <si>
    <t>T_C_Sol_Solar_Pv_Roof_SolFlat_2040</t>
  </si>
  <si>
    <t>PV_Roof_Flat_2040</t>
  </si>
  <si>
    <t>T_C_Sol_Solar_Pv_Roof_SolFlat_2050</t>
  </si>
  <si>
    <t>PV_Roof_Flat_2050</t>
  </si>
  <si>
    <t>T_C_Conv_Methane_Hydrogenation_Syngas_CH4_2020</t>
  </si>
  <si>
    <t>Syngas_Hydrogenation_CH4_2020</t>
  </si>
  <si>
    <t>Sabatier Reaction</t>
  </si>
  <si>
    <r>
      <t xml:space="preserve">1, </t>
    </r>
    <r>
      <rPr>
        <b/>
        <sz val="12"/>
        <color theme="1"/>
        <rFont val="Aptos"/>
        <family val="2"/>
      </rPr>
      <t>0.139</t>
    </r>
  </si>
  <si>
    <t>CH4, ThHt, H2O</t>
  </si>
  <si>
    <t>1.107, 0.284, 0.089</t>
  </si>
  <si>
    <t>1.107, 0.284</t>
  </si>
  <si>
    <t>sabatier reaction methanation unit construction; RER</t>
  </si>
  <si>
    <t>Values are different from paper_müller_PowerX_2025. Where are they from? Values much lower than expected!</t>
  </si>
  <si>
    <t>T_C_Conv_Methane_Hydrogenation_Syngas_CH4_2030</t>
  </si>
  <si>
    <t>Syngas_Hydrogenation_CH4_2030</t>
  </si>
  <si>
    <t>T_C_Conv_Methane_Hydrogenation_Syngas_CH4_2040</t>
  </si>
  <si>
    <t>Syngas_Hydrogenation_CH4_2040</t>
  </si>
  <si>
    <t>T_C_Conv_Methane_Hydrogenation_Syngas_CH4_2050</t>
  </si>
  <si>
    <t>Syngas_Hydrogenation_CH4_2050</t>
  </si>
  <si>
    <t>T_C_Conv_Methanol_Syngas_MeOH_2030</t>
  </si>
  <si>
    <t>Syngas_Hydrogenation_Methanol_2030</t>
  </si>
  <si>
    <t>Gas Separator</t>
  </si>
  <si>
    <r>
      <t xml:space="preserve">1, </t>
    </r>
    <r>
      <rPr>
        <b/>
        <sz val="12"/>
        <color theme="1"/>
        <rFont val="Aptos"/>
        <family val="2"/>
      </rPr>
      <t>0.209</t>
    </r>
  </si>
  <si>
    <t>1.313, 0.265</t>
  </si>
  <si>
    <t>126, 874</t>
  </si>
  <si>
    <t>1000,0</t>
  </si>
  <si>
    <t>Values are different from paper_müller_PowerX_2025. Where are they from?</t>
  </si>
  <si>
    <t>T_C_Conv_Methanol_Syngas_MeOH_2040</t>
  </si>
  <si>
    <t>Syngas_Hydrogenation_Methanol_2040</t>
  </si>
  <si>
    <t>T_C_Conv_Methanol_Syngas_MeOH_2050</t>
  </si>
  <si>
    <t>Syngas_Hydrogenation_Methanol_2050</t>
  </si>
  <si>
    <t>0.85</t>
  </si>
  <si>
    <t>Nuclear Powerplant</t>
  </si>
  <si>
    <t>0.33</t>
  </si>
  <si>
    <t>0.33, 0.0067</t>
  </si>
  <si>
    <t>nuclear power plant construction, pressure water reactor, 1000MW; CH</t>
  </si>
  <si>
    <t xml:space="preserve"> "capex_power_capacity_eur_per_kw", "opex_one_time_eur", "overall_efficiency", "opex_energy_eur_per_unit", "lifetime_yr": report_VSE_2025; "ratios_in", "ratios_out": source_share; "lca_id", "lca_unit", "embedded_carbon_kgco2e_per_lca_unit",  "lca_scenario": parameters_lca</t>
  </si>
  <si>
    <t>"ratios_in", "ratios_out": source_share; "lca_id", "lca_unit", "embedded_carbon_kgco2e_per_lca_unit",  "lca_scenario": parameters_lca</t>
  </si>
  <si>
    <t>Cristina</t>
  </si>
  <si>
    <t>T_C_Conv_Hydrogen_Gasification_Msw_Syngas_2030</t>
  </si>
  <si>
    <t>Waste_Gasification_Syngas_2030</t>
  </si>
  <si>
    <t>7-9</t>
  </si>
  <si>
    <t>Msw, O2</t>
  </si>
  <si>
    <t>1, na</t>
  </si>
  <si>
    <t>0.782, na</t>
  </si>
  <si>
    <t>synthetic gas factory construction; CH</t>
  </si>
  <si>
    <t>"tech_maturity ": paper_biomass to syngas; "ratios_in", "ratios_out": source_share; "lca_id", "lca_unit", "embedded_carbon_kgco2e_per_lca_unit",  "lca_scenario": parameters_lca</t>
  </si>
  <si>
    <t>No Source Found</t>
  </si>
  <si>
    <t xml:space="preserve">No value in VSA
Value for Wood BHKW on the right
</t>
  </si>
  <si>
    <t>T_C_Conv_CarbonCapture_CO2Waste_Vent_2050</t>
  </si>
  <si>
    <t>Waste_Venting_CO2_2050</t>
  </si>
  <si>
    <t>T_C_Conv_Hydrogen_Gasification_Msw_H2_2030</t>
  </si>
  <si>
    <t>Waste_Waste_Hydrogen_2030</t>
  </si>
  <si>
    <t>5-7</t>
  </si>
  <si>
    <t>Msw, ThHt</t>
  </si>
  <si>
    <t>"tech_maturity ": report_wood to hydrogen; "ratios_in", "ratios_out": source_share; "lca_id", "lca_unit", "embedded_carbon_kgco2e_per_lca_unit",  "lca_scenario": parameters_lca</t>
  </si>
  <si>
    <t>T_C_Conv_Wind_Turbine_Generic_2020</t>
  </si>
  <si>
    <t>Wind_Turbine_2020</t>
  </si>
  <si>
    <t>wind turbine construction, 2MW, onshore; GLO</t>
  </si>
  <si>
    <t>"capex_power_capacity_eur_per_kw", "opex_one_time_eur", "overall_efficiency", "opex_energy_eur_per_unit": report_VSE_2025; "lifetime_yr": report_VSE_2022; "ratios_in", "ratios_out": source_shares; "lca_id", "lca_unit", "embedded_carbon_kgco2e_per_lca_unit",  "lca_scenario": parameters_lca</t>
  </si>
  <si>
    <t>T_C_Conv_Wind_Turbine_Generic_2030</t>
  </si>
  <si>
    <t>Wind_Turbine_2030</t>
  </si>
  <si>
    <t>Generic wind turbine electricity generation (2030).</t>
  </si>
  <si>
    <t>Interpolation of values CAPEX and OPEX</t>
  </si>
  <si>
    <t>T_C_Conv_Wind_Turbine_Generic_2040</t>
  </si>
  <si>
    <t>Wind_Turbine_2040</t>
  </si>
  <si>
    <t>Generic wind turbine electricity generation (2040).</t>
  </si>
  <si>
    <t>T_C_Conv_Wind_Turbine_Generic_2050</t>
  </si>
  <si>
    <t>Wind_Turbine_2050</t>
  </si>
  <si>
    <t>Generic wind turbine electricity generation (2050).</t>
  </si>
  <si>
    <t>T_C_Conv_Elec_Wood_Chp_2020</t>
  </si>
  <si>
    <t>Wood_CHP_2020</t>
  </si>
  <si>
    <t>El47, ThHt, CO2Wood</t>
  </si>
  <si>
    <t>0.15, 0.6</t>
  </si>
  <si>
    <t>0.15, 0.6, 0.37</t>
  </si>
  <si>
    <t>heat and power co-generation unit construction, 1MWel; CH</t>
  </si>
  <si>
    <t>"capex_power_capacity_eur_per_kw", "opex_one_time_eur", "overall_efficiency", "opex_energy_eur_per_unit", "lifetime_yr": report_VSE_2025; "ratios_in", "ratios_out": source_share; "lca_id", "lca_unit", "embedded_carbon_kgco2e_per_lca_unit",  "lca_scenario": parameters_lca</t>
  </si>
  <si>
    <t>1400 CHF/kWel is too low, Galgenen costed 60 mio CHF for a firing capacity of 20 MW and an electrical output of 6.4 MWel (https://www.energie-ausserschwyz.ch/energiezentrum)</t>
  </si>
  <si>
    <t>T_C_Conv_Elec_Wood_Chp_2030</t>
  </si>
  <si>
    <t>Wood_CHP_2030</t>
  </si>
  <si>
    <t>"capex_power_capacity_eur_per_kw", "opex_one_time_eur", "overall_efficiency", "opex_energy_eur_per_unit", "lifetime_yr": report_VSE_2025, assumption_constant_extrapolation; "ratios_in", "ratios_out": source_share; "lca_id", "lca_unit", "embedded_carbon_kgco2e_per_lca_unit",  "lca_scenario": parameters_lca</t>
  </si>
  <si>
    <t>T_C_Conv_Elec_Wood_Chp_2040</t>
  </si>
  <si>
    <t>Wood_CHP_2040</t>
  </si>
  <si>
    <t>T_C_Conv_Elec_Wood_Chp_2050</t>
  </si>
  <si>
    <t>Wood_CHP_2050</t>
  </si>
  <si>
    <t>T_C_Conv_Hydrogen_Gasification_Wood_H2_2030</t>
  </si>
  <si>
    <t>Wood_Gasification_Hydrogen_2030</t>
  </si>
  <si>
    <t>Wood, O2, ThHt</t>
  </si>
  <si>
    <t>1, 0.042, 0.011</t>
  </si>
  <si>
    <t>0.396, 0.222</t>
  </si>
  <si>
    <t>"tech_maturity ": paper_Msw to syngas; "ratios_in", "ratios_out": source_share; "lca_id", "lca_unit", "embedded_carbon_kgco2e_per_lca_unit",  "lca_scenario": parameters_lca</t>
  </si>
  <si>
    <t>T_C_Conv_Hydrogen_Gasification_Wood_Syngas_2030</t>
  </si>
  <si>
    <t>Wood_Gasification_Syngas_2030</t>
  </si>
  <si>
    <t>0.961, 0.039</t>
  </si>
  <si>
    <t>H2Process, CO, CO2Sys</t>
  </si>
  <si>
    <t>0.157, 0.121, 0.052</t>
  </si>
  <si>
    <t>kWh, KWh, kg</t>
  </si>
  <si>
    <t>T_C_Conv_Thermal_ThermalBdg_Wood_2020</t>
  </si>
  <si>
    <t>Wood_Heating_Buildings_2020</t>
  </si>
  <si>
    <t>furnace production, wood chips, with silo, 50kW; CH</t>
  </si>
  <si>
    <t>T_C_Conv_Thermal_ThermalBdg_Wood_2030</t>
  </si>
  <si>
    <t>Wood_Heating_Buildings_2030</t>
  </si>
  <si>
    <t xml:space="preserve"> "capex_power_capacity_eur_per_kw", "opex_one_time_eur", "overall_efficiency", "opex_energy_eur_per_unit": report_VSE_2025, linear_interpolation_2020_2050; "lifetime_yr": report_VSE_2022; "ratios_in", "ratios_out": source_share; "lca_id", "lca_unit", "embedded_carbon_kgco2e_per_lca_unit",  "lca_scenario": parameters_lca</t>
  </si>
  <si>
    <t>T_C_Conv_Thermal_ThermalBdg_Wood_2040</t>
  </si>
  <si>
    <t>Wood_Heating_Buildings_2040</t>
  </si>
  <si>
    <t>T_C_Conv_Thermal_ThermalBdg_Wood_2050</t>
  </si>
  <si>
    <t>Wood_Heating_Buildings_2050</t>
  </si>
  <si>
    <t>T_C_Conv_Thermal_ThermalPhII_Wood_2020</t>
  </si>
  <si>
    <t>Wood_Heating_ThermalPowerPlants_2020</t>
  </si>
  <si>
    <t>Biomass Furnace</t>
  </si>
  <si>
    <t>T_C_Conv_Thermal_ThermalPhII_Wood_2050</t>
  </si>
  <si>
    <t>Wood_Heating_ThermalPowerPlants_2050</t>
  </si>
  <si>
    <t>CBio, ThPhII</t>
  </si>
  <si>
    <t>0.063, 0.18</t>
  </si>
  <si>
    <t>No mention of pyrolsis of wood in danish power agency and other sources!</t>
  </si>
  <si>
    <t>T_C_Conv_CarbonCapture_CO2Wood_Vent_2050</t>
  </si>
  <si>
    <t>Wood_Venting_CO2_2050</t>
  </si>
  <si>
    <t>T_C_Conv_HEFA_CookingOilFat_C12_2050</t>
  </si>
  <si>
    <t>CookingOilFat_HEFA_C12</t>
  </si>
  <si>
    <t>SAF production (HEFA)</t>
  </si>
  <si>
    <t>SAF Production via esterification of used cooking oil and animal fat</t>
  </si>
  <si>
    <t>HEFA</t>
  </si>
  <si>
    <t>CookingOil, MeOH, El47, CH4</t>
  </si>
  <si>
    <t>CookingOil</t>
  </si>
  <si>
    <t>0.912, 0.044, 0.004, 0.032</t>
  </si>
  <si>
    <t>0.87</t>
  </si>
  <si>
    <t xml:space="preserve"> "capex_power_capacity_eur_per_kw", "opex_one_time_eur", "lifetime_yr","ratios_in", "ratios_out": report_danish_energy_2026, "overall_efficiency": missing; "lca_id", "lca_unit", "embedded_carbon_kgco2e_per_lca_unit",  "lca_scenario": missing</t>
  </si>
  <si>
    <t>T_C_Dummy_Thermal_Coal_ThCem</t>
  </si>
  <si>
    <t>CementFuel_Coal</t>
  </si>
  <si>
    <t>Cement</t>
  </si>
  <si>
    <t>Coal</t>
  </si>
  <si>
    <t>ThCem, CO2Cement</t>
  </si>
  <si>
    <t>ThCem</t>
  </si>
  <si>
    <t>1, 0.334</t>
  </si>
  <si>
    <t>0.0000001</t>
  </si>
  <si>
    <t>T_C_Dummy_Thermal_H2_ThCem</t>
  </si>
  <si>
    <t>CementFuel_H2</t>
  </si>
  <si>
    <t>T_C_Dummy_Thermal_Ch4_ThCem</t>
  </si>
  <si>
    <t>CementFuel_Ch4</t>
  </si>
  <si>
    <t>1, 0.202</t>
  </si>
  <si>
    <t>T_C_Dummy_Thermal_Csw_ThCem</t>
  </si>
  <si>
    <t>CementFuel_CSW</t>
  </si>
  <si>
    <t>1, 0.33</t>
  </si>
  <si>
    <t>T_C_Dummy_Thermal_Sbf_ThCem</t>
  </si>
  <si>
    <t>CementFuel_Sbf</t>
  </si>
  <si>
    <t>Sbf</t>
  </si>
  <si>
    <t>1, 0.395</t>
  </si>
  <si>
    <t>T_C_Conv_Conventional_CaCO3_Clinker</t>
  </si>
  <si>
    <t>Cement_Clinker</t>
  </si>
  <si>
    <t>Main cement kiln (conventional)</t>
  </si>
  <si>
    <t>CaCO3, ThCem, El13</t>
  </si>
  <si>
    <t>CaCO3</t>
  </si>
  <si>
    <t>0.54, 0.41, 0.05</t>
  </si>
  <si>
    <t>ClinkerSys, Fluegas, CO2Cement</t>
  </si>
  <si>
    <t>ClinkerSys</t>
  </si>
  <si>
    <t>0.82, 0.062, 0.415</t>
  </si>
  <si>
    <t>kg, kWh, kg</t>
  </si>
  <si>
    <t>T_C_Conv_Thermal_ClinkerSys_ClinkerExp</t>
  </si>
  <si>
    <t>Clinker cooling heat exchangers</t>
  </si>
  <si>
    <t>ClinkerExp, ThPhII, ThHt</t>
  </si>
  <si>
    <t>ClinkerExp</t>
  </si>
  <si>
    <t>1, 0.059, 0.008</t>
  </si>
  <si>
    <t>T_C_Conv_Thermal_Fluegas_ThHt</t>
  </si>
  <si>
    <t>Clinker fluegas heat exchangers</t>
  </si>
  <si>
    <t>Fluegas</t>
  </si>
  <si>
    <t>Loss/hour</t>
  </si>
  <si>
    <t>Currency/kWh</t>
  </si>
  <si>
    <t xml:space="preserve"> Currency/kWh.year</t>
  </si>
  <si>
    <t>[kgCO2-eq/LCA unit]</t>
  </si>
  <si>
    <t>T_S_Stor_Elec_Battery_ElBdg_2025</t>
  </si>
  <si>
    <t>"CAPEX": web_BatteryCH_2023; "Opex Storage Capacity": web_Battery_OM_2025</t>
  </si>
  <si>
    <t>T_S_Stor_Elec_Battery_ElBdg_2030</t>
  </si>
  <si>
    <t>Electric battery storage at home, 2030</t>
  </si>
  <si>
    <t>"CAPEX": assumption_Empa_battery_capex_2025; "Opex Storage Capacity": web_Battery_OM_2025</t>
  </si>
  <si>
    <t>T_S_Stor_Elec_Battery_ElBdg_2040</t>
  </si>
  <si>
    <t>Electric battery storage at home, 2040</t>
  </si>
  <si>
    <t>T_S_Stor_Elec_Battery_ElBdg_2050</t>
  </si>
  <si>
    <t>Electric battery storage at home, 2050</t>
  </si>
  <si>
    <t>T_S_Stor_Elec_Battery_El47_2020</t>
  </si>
  <si>
    <t>"CAPEX": report_VSE_2022; "OPEX": web_Battery_OM_2025</t>
  </si>
  <si>
    <t>T_S_Stor_Elec_Battery_El47_2030</t>
  </si>
  <si>
    <t>Electric battery storage at the grid, 2030</t>
  </si>
  <si>
    <t>T_S_Stor_Elec_Battery_El47_2040</t>
  </si>
  <si>
    <t>Electric battery storage at the grid, 2040</t>
  </si>
  <si>
    <t>T_S_Stor_Elec_Battery_El47_2050</t>
  </si>
  <si>
    <t>Electric battery storage at the grid, 2050</t>
  </si>
  <si>
    <t>"CAPEX": report_VSE_2022; "OPEX": report_VSE_2022</t>
  </si>
  <si>
    <t>"ALL": report_VSE_2022</t>
  </si>
  <si>
    <t>T_S_Stor_Thermal_Generic_ThPhII</t>
  </si>
  <si>
    <t>T_S_Stor_Hydrogen_Tank_Generic_2030</t>
  </si>
  <si>
    <t>Tank storage for methane (compressed)</t>
  </si>
  <si>
    <t>"ALL": report_VSE_2022, report_ASSET_2018, report_gas_compression_2014, report_gas_storage_2017</t>
  </si>
  <si>
    <t>Storaging methane via compressing in the pipelines</t>
  </si>
  <si>
    <t>T_S_Stor_Methane_Ug_Ch4_2030</t>
  </si>
  <si>
    <t>Underground methane storage</t>
  </si>
  <si>
    <t>"CAPEX Storage Capacity": report_power_to_ammonia_2018</t>
  </si>
  <si>
    <t>Technology Maturity Name</t>
  </si>
  <si>
    <t>Technology Maturity Description</t>
  </si>
  <si>
    <t>TRL range [1-9]</t>
  </si>
  <si>
    <t>Prototype development from lab -to demonstration scale</t>
  </si>
  <si>
    <t>4-6</t>
  </si>
  <si>
    <t>https://euro-funding.com/en/blog/what-is-the-technology-maturity-scale-trl/</t>
  </si>
  <si>
    <t>Pilot -and demonstration phase</t>
  </si>
  <si>
    <t>7-8</t>
  </si>
  <si>
    <t>Mature technology</t>
  </si>
  <si>
    <t>Technology ID</t>
  </si>
  <si>
    <t>Technology Name</t>
  </si>
  <si>
    <t>Process Name</t>
  </si>
  <si>
    <t>Technology Maturity</t>
  </si>
  <si>
    <t>System Boundary</t>
  </si>
  <si>
    <t>Scenario Year</t>
  </si>
  <si>
    <t>Input Carrier</t>
  </si>
  <si>
    <t>Input Energy Factor</t>
  </si>
  <si>
    <t>Input Mass Factor</t>
  </si>
  <si>
    <t>Output Carrier</t>
  </si>
  <si>
    <t>Output Energy Factor</t>
  </si>
  <si>
    <t>Output Mass Factor</t>
  </si>
  <si>
    <t>Lifetime</t>
  </si>
  <si>
    <t>Maximum Capacity per Unit</t>
  </si>
  <si>
    <t>Minimum Capacity per Unit</t>
  </si>
  <si>
    <t>Maximum rRamping Rate</t>
  </si>
  <si>
    <t>Minimum Load</t>
  </si>
  <si>
    <t>Cost Currency</t>
  </si>
  <si>
    <t>Cost Data Year</t>
  </si>
  <si>
    <t>Investment cost, fixed</t>
  </si>
  <si>
    <t>Investment cost, per power capacity</t>
  </si>
  <si>
    <t>O&amp;M cost, fixed</t>
  </si>
  <si>
    <t>O&amp;M cost, per power capacity</t>
  </si>
  <si>
    <t>O&amp;M cost, per energy output</t>
  </si>
  <si>
    <t>Embodied carbon, per power capacity</t>
  </si>
  <si>
    <t>Hydrogen Electrolysis using El47 to produce Hydrogen (2030)</t>
  </si>
  <si>
    <t>Hydrogen_Electrolysis_El47_H2_2030</t>
  </si>
  <si>
    <t>???</t>
  </si>
  <si>
    <t>"specification and cost": R001; "efficiency": R002</t>
  </si>
  <si>
    <t>Hydrogen Electrolysis using El47 to produce Hydrogen (2040)</t>
  </si>
  <si>
    <t>Hydrogen_Electrolysis_El47_H2_2040</t>
  </si>
  <si>
    <t>"specification and cost": R001</t>
  </si>
  <si>
    <t>Hydrogen Electrolysis using El47 to produce Hydrogen (2050)</t>
  </si>
  <si>
    <t>Hydrogen_Electrolysis_El47_H2_2050</t>
  </si>
  <si>
    <t>Hydrogen Gasification using Wood to produce Syngas (2030)</t>
  </si>
  <si>
    <t>Hydrogen_Gasification_Wood_Syngas_2030</t>
  </si>
  <si>
    <t>Hydrogen Gasification using Municipal Solid Waste (MSW) to produce Syngas (2030)</t>
  </si>
  <si>
    <t>Hydrogen_Gasification_Msw_Syngas_2030</t>
  </si>
  <si>
    <t>Hydrogen Gasification using Wood to produce Hydrogen (2030)</t>
  </si>
  <si>
    <t>Hydrogen_Gasification_Wood_H2_2030</t>
  </si>
  <si>
    <t>Hydrogen Gasification using Municipal Solid Waste (MSW) to produce Hydrogen (2030)</t>
  </si>
  <si>
    <t>Hydrogen_Gasification_Msw_H2_2030</t>
  </si>
  <si>
    <t>Methane Digestion using Wet Biomass to produce Methane (2020)</t>
  </si>
  <si>
    <t>Methane_Digestion_BioWet_Ch4_2020</t>
  </si>
  <si>
    <t>0.3, 0.035</t>
  </si>
  <si>
    <t>"efficiency": R003; "capex": R004</t>
  </si>
  <si>
    <t>"opex": A001; "lifetime": A002</t>
  </si>
  <si>
    <t>Methane Digestion using Wet Biomass to produce Methane (2040)</t>
  </si>
  <si>
    <t>Methane_Digestion_BioWet_Ch4_2040</t>
  </si>
  <si>
    <t>0.823, 0.177</t>
  </si>
  <si>
    <t>CH4, H2O</t>
  </si>
  <si>
    <t>0.49, 0</t>
  </si>
  <si>
    <t>"all": A003; "opex": A001; "lifetime": A002</t>
  </si>
  <si>
    <t>Methane Hydrogenation using Hydrogen to produce Methane (2030)</t>
  </si>
  <si>
    <t>Methane_Hydrogenation_H2_Ch4_2030</t>
  </si>
  <si>
    <t>0.859, 0.141</t>
  </si>
  <si>
    <t>CH4, H2O, ThHt</t>
  </si>
  <si>
    <t>0.92, 0, 0.086</t>
  </si>
  <si>
    <t>"efficiency": R005; "capex": R006</t>
  </si>
  <si>
    <t>"opex": A004; "lifetime": A005</t>
  </si>
  <si>
    <t>Methane Hydrogenation using Hydrogen to produce Methane (2040)</t>
  </si>
  <si>
    <t>Methane_Hydrogenation_H2_Ch4_2040</t>
  </si>
  <si>
    <t>Methane Hydrogenation using Hydrogen to produce Methane (2050)</t>
  </si>
  <si>
    <t>Methane_Hydrogenation_H2_Ch4_2050</t>
  </si>
  <si>
    <t>Methane Hydrogenation using Syngas to produce Methane (2030)</t>
  </si>
  <si>
    <t>Methane_Hydrogenation_Syngas_Ch4_2030</t>
  </si>
  <si>
    <t>0.878, 0.122</t>
  </si>
  <si>
    <t>1.22, 0, 0.14</t>
  </si>
  <si>
    <t>"all": A006</t>
  </si>
  <si>
    <t>Methane Hydrogenation using Syngas to produce Methane (2040)</t>
  </si>
  <si>
    <t>Methane_Hydrogenation_Syngas_Ch4_2040</t>
  </si>
  <si>
    <t>Methane Hydrogenation using Syngas to produce Methane (2050)</t>
  </si>
  <si>
    <t>Methane_Hydrogenation_Syngas_Ch4_2050</t>
  </si>
  <si>
    <t>Reverse Water-Gas Shift (RWGS) using Hydrogen to produce Carbon Monoxide (2030)</t>
  </si>
  <si>
    <t>CarbonMonoxide_Rwgs_H2_CO_2030</t>
  </si>
  <si>
    <t>0.534, 0.35, 0.116</t>
  </si>
  <si>
    <t>"capex": A007</t>
  </si>
  <si>
    <t>Reverse Water-Gas Shift (RWGS) using Hydrogen to produce Carbon Monoxide (2040)</t>
  </si>
  <si>
    <t>CarbonMonoxide_Rwgs_H2_CO_2040</t>
  </si>
  <si>
    <t>"all": A005</t>
  </si>
  <si>
    <t>Tech ID</t>
  </si>
  <si>
    <t>Scenario</t>
  </si>
  <si>
    <t>CAPEX</t>
  </si>
  <si>
    <t>OPEX</t>
  </si>
  <si>
    <t>T_C_Conv_Methane_Hydrogenation_H2_Ch4_2030</t>
  </si>
  <si>
    <t>article{horakReviewSpatiotemporalUrban2022a,
  title = {A Review of Spatio-Temporal Urban Energy System Modeling for Urban Decarbonization Strategy Formulation},
  author = {Horak, Daniel and Hainoun, Ali and Neugebauer, Georg and Stoeglehner, Gernot},
  year = {2022},
  month = jul,
  journal = {Renewable and Sustainable Energy Reviews},
  volume = {162},
  pages = {112426},
  issn = {13640321},
  doi = {10.1016/j.rser.2022.112426},
  urldate = {2024-11-11},
  langid = {english}
}</t>
  </si>
  <si>
    <t>REF</t>
  </si>
  <si>
    <t xml:space="preserve">High </t>
  </si>
  <si>
    <t xml:space="preserve">System </t>
  </si>
  <si>
    <t>Technology</t>
  </si>
  <si>
    <t>Constraints</t>
  </si>
  <si>
    <t>Notes</t>
  </si>
  <si>
    <t>Scenario ID</t>
  </si>
  <si>
    <t>Scenario description</t>
  </si>
  <si>
    <t>Main Tech Category</t>
  </si>
  <si>
    <t>Main Tech Group</t>
  </si>
  <si>
    <t>Min Capacity [GW]</t>
  </si>
  <si>
    <t>Max Capacity [GW]</t>
  </si>
  <si>
    <t>Min Energy Output [TWh]</t>
  </si>
  <si>
    <t>Max Energy Output [TWh]</t>
  </si>
  <si>
    <t>GW</t>
  </si>
  <si>
    <t>TWh</t>
  </si>
  <si>
    <t>CROSS_XY</t>
  </si>
  <si>
    <t xml:space="preserve">
offensive-integrated </t>
  </si>
  <si>
    <t>T_C_Conv_Elec_Ch4_Ocgt_2030</t>
  </si>
  <si>
    <t>T_C_Conv_Elec_Ch4_Ccgt_2030</t>
  </si>
  <si>
    <t>T_C_Conv_Elec_Ch4_CcgtCcs_2030</t>
  </si>
  <si>
    <t>T_C_Conv_Elec_Geothermal_Chp_2040</t>
  </si>
  <si>
    <t>Heating Oil</t>
  </si>
  <si>
    <t>T_C_Conv_Thermal_ThermalPh_H2_2030</t>
  </si>
  <si>
    <t>T_C_Net_Thermal_ThDh_ThBdg</t>
  </si>
  <si>
    <t>T_C_Conv_Methane_Digestion_BioWet_Ch4_2020</t>
  </si>
  <si>
    <t>T_C_Conv_Methane_Hydrogenation_Syngas_Ch4_2030</t>
  </si>
  <si>
    <t>Fuel</t>
  </si>
  <si>
    <t>Alpine Solar</t>
  </si>
  <si>
    <t>T_C_Conv_Solar_Pv_Alpin_2030</t>
  </si>
  <si>
    <t>T_C_Conv_Solar_Pv_Alpin_2040</t>
  </si>
  <si>
    <t>T_C_Conv_Solar_Pv_Alpin_2050</t>
  </si>
  <si>
    <t>Hydro Reservoir</t>
  </si>
  <si>
    <t>Energy Carrier</t>
  </si>
  <si>
    <t>Imp/Exp</t>
  </si>
  <si>
    <t>Main ec Category</t>
  </si>
  <si>
    <t>ehubX ec ID</t>
  </si>
  <si>
    <t>Price</t>
  </si>
  <si>
    <t>CO2 intensity</t>
  </si>
  <si>
    <t>Min Energy Import [TWh]</t>
  </si>
  <si>
    <t>Max Energy Import [TWh]</t>
  </si>
  <si>
    <t>[CHF/kWh]</t>
  </si>
  <si>
    <t xml:space="preserve"> [kgCO2/kWh]</t>
  </si>
  <si>
    <t>Import</t>
  </si>
  <si>
    <t>Fixed profile</t>
  </si>
  <si>
    <t>CO2 classification</t>
  </si>
  <si>
    <t>System boundary</t>
  </si>
  <si>
    <t>CO2 origin</t>
  </si>
  <si>
    <t>Certificate category</t>
  </si>
  <si>
    <t>Certificate price</t>
  </si>
  <si>
    <t>CO2 transport &amp; storage cost abroad</t>
  </si>
  <si>
    <t>…</t>
  </si>
  <si>
    <t>Fossil &amp; Geogenic</t>
  </si>
  <si>
    <t>[CHF/kgCO2]</t>
  </si>
  <si>
    <t xml:space="preserve"> [CHF/kgCO2]</t>
  </si>
  <si>
    <t>Biogenic &amp; Air</t>
  </si>
  <si>
    <t>Technology instance</t>
  </si>
  <si>
    <t>Parameter Name</t>
  </si>
  <si>
    <t>Value</t>
  </si>
  <si>
    <t>Unit</t>
  </si>
  <si>
    <t>Model Specific</t>
  </si>
  <si>
    <t>T_C_Conv_Methane_Digestion_BioWet_Ch4_2040</t>
  </si>
  <si>
    <t>T_C_Conv_Methane_Hydrogenation_H2_Ch4_2040</t>
  </si>
  <si>
    <t>T_C_Conv_Methane_Hydrogenation_H2_Ch4_2050</t>
  </si>
  <si>
    <t>T_C_Conv_Methane_Hydrogenation_Syngas_Ch4_2040</t>
  </si>
  <si>
    <t>T_C_Conv_Methane_Hydrogenation_Syngas_Ch4_2050</t>
  </si>
  <si>
    <t>change by scenario</t>
  </si>
  <si>
    <t>1, 0.25</t>
  </si>
  <si>
    <t>1, 0.19</t>
  </si>
  <si>
    <t>1000, 0.1123</t>
  </si>
  <si>
    <t>1000, 0.1262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</si>
</sst>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6" formatCode="0.0000"/>
    <numFmt numFmtId="167" formatCode="0.0"/>
    <numFmt numFmtId="168" formatCode="0.0000000"/>
  </numFmts>
  <fonts count="79">
    <font>
      <sz val="10"/>
      <color rgb="FF000000"/>
      <name val="Arial"/>
      <scheme val="minor"/>
    </font>
    <font>
      <sz val="10"/>
      <color theme="1"/>
      <name val="Arial"/>
      <family val="2"/>
      <scheme val="minor"/>
    </font>
    <font>
      <sz val="10"/>
      <color rgb="FF0000FF"/>
      <name val="Arial"/>
      <family val="2"/>
      <scheme val="minor"/>
    </font>
    <font>
      <sz val="10"/>
      <color theme="1"/>
      <name val="Arial"/>
      <family val="2"/>
    </font>
    <font>
      <b/>
      <sz val="10"/>
      <color theme="1"/>
      <name val="Arial"/>
      <family val="2"/>
      <scheme val="minor"/>
    </font>
    <font>
      <b/>
      <sz val="10"/>
      <color rgb="FF0000FF"/>
      <name val="Arial"/>
      <family val="2"/>
      <scheme val="minor"/>
    </font>
    <font>
      <sz val="10"/>
      <color rgb="FF0000FF"/>
      <name val="Arial"/>
      <family val="2"/>
    </font>
    <font>
      <u/>
      <sz val="10"/>
      <color theme="10"/>
      <name val="Arial"/>
      <family val="2"/>
      <scheme val="minor"/>
    </font>
    <font>
      <sz val="9"/>
      <color indexed="81"/>
      <name val="Tahoma"/>
      <family val="2"/>
    </font>
    <font>
      <b/>
      <sz val="9"/>
      <color indexed="81"/>
      <name val="Tahoma"/>
      <family val="2"/>
    </font>
    <font>
      <sz val="10"/>
      <color rgb="FF000000"/>
      <name val="Arial"/>
      <family val="2"/>
      <scheme val="minor"/>
    </font>
    <font>
      <sz val="12"/>
      <color rgb="FF000000"/>
      <name val="Aptos"/>
      <family val="2"/>
    </font>
    <font>
      <b/>
      <sz val="12"/>
      <color theme="1"/>
      <name val="Aptos"/>
      <family val="2"/>
    </font>
    <font>
      <sz val="12"/>
      <color theme="1"/>
      <name val="Aptos"/>
      <family val="2"/>
    </font>
    <font>
      <sz val="12"/>
      <color rgb="FFFF0000"/>
      <name val="Aptos"/>
      <family val="2"/>
    </font>
    <font>
      <sz val="12"/>
      <color rgb="FF0000FF"/>
      <name val="Aptos"/>
      <family val="2"/>
    </font>
    <font>
      <b/>
      <sz val="16"/>
      <color rgb="FF000000"/>
      <name val="Aptos"/>
      <family val="2"/>
    </font>
    <font>
      <sz val="16"/>
      <color rgb="FF000000"/>
      <name val="Aptos"/>
      <family val="2"/>
    </font>
    <font>
      <b/>
      <sz val="12"/>
      <color theme="2" tint="-0.499984740745262"/>
      <name val="Aptos"/>
      <family val="2"/>
    </font>
    <font>
      <sz val="12"/>
      <color theme="2" tint="-0.499984740745262"/>
      <name val="Aptos"/>
      <family val="2"/>
    </font>
    <font>
      <b/>
      <sz val="16"/>
      <color theme="1"/>
      <name val="Aptos"/>
      <family val="2"/>
    </font>
    <font>
      <sz val="16"/>
      <color theme="1"/>
      <name val="Aptos"/>
      <family val="2"/>
    </font>
    <font>
      <b/>
      <sz val="12"/>
      <color rgb="FF000000"/>
      <name val="Aptos"/>
      <family val="2"/>
    </font>
    <font>
      <u/>
      <sz val="12"/>
      <color theme="10"/>
      <name val="Aptos"/>
      <family val="2"/>
    </font>
    <font>
      <u/>
      <sz val="12"/>
      <color rgb="FF0000FF"/>
      <name val="Aptos"/>
      <family val="2"/>
    </font>
    <font>
      <b/>
      <sz val="16"/>
      <name val="Aptos"/>
      <family val="2"/>
    </font>
    <font>
      <b/>
      <sz val="12"/>
      <name val="Aptos"/>
      <family val="2"/>
    </font>
    <font>
      <sz val="12"/>
      <name val="Aptos"/>
      <family val="2"/>
    </font>
    <font>
      <b/>
      <sz val="16"/>
      <color theme="2" tint="-0.499984740745262"/>
      <name val="Aptos"/>
      <family val="2"/>
    </font>
    <font>
      <b/>
      <sz val="10"/>
      <color rgb="FF000000"/>
      <name val="Arial"/>
      <family val="2"/>
      <scheme val="minor"/>
    </font>
    <font>
      <sz val="10"/>
      <color rgb="FFFF0000"/>
      <name val="Arial"/>
      <family val="2"/>
      <scheme val="minor"/>
    </font>
    <font>
      <sz val="10"/>
      <name val="Arial"/>
      <family val="2"/>
      <scheme val="minor"/>
    </font>
    <font>
      <sz val="10"/>
      <color rgb="FF000000"/>
      <name val="Aptos"/>
      <family val="2"/>
    </font>
    <font>
      <sz val="10"/>
      <color rgb="FF000000"/>
      <name val="Arial Unicode MS"/>
    </font>
    <font>
      <sz val="12"/>
      <color theme="0" tint="-0.249977111117893"/>
      <name val="Aptos"/>
      <family val="2"/>
    </font>
    <font>
      <sz val="8"/>
      <name val="Arial"/>
      <family val="2"/>
      <scheme val="minor"/>
    </font>
    <font>
      <sz val="8"/>
      <name val="Arial"/>
      <family val="2"/>
      <scheme val="minor"/>
    </font>
    <font>
      <sz val="10"/>
      <color rgb="FF000000"/>
      <name val="Arial"/>
      <family val="2"/>
    </font>
    <font>
      <b/>
      <sz val="10"/>
      <color theme="1"/>
      <name val="Aptos"/>
      <family val="2"/>
    </font>
    <font>
      <sz val="10"/>
      <color theme="1"/>
      <name val="Aptos"/>
      <family val="2"/>
    </font>
    <font>
      <b/>
      <sz val="14"/>
      <color theme="0"/>
      <name val="Aptos"/>
      <family val="2"/>
    </font>
    <font>
      <sz val="10"/>
      <color rgb="FF0070C0"/>
      <name val="Arial"/>
      <family val="2"/>
      <scheme val="minor"/>
    </font>
    <font>
      <sz val="10"/>
      <color rgb="FF000000"/>
      <name val="Arial"/>
      <family val="2"/>
      <scheme val="minor"/>
    </font>
    <font>
      <u/>
      <sz val="12"/>
      <color theme="10"/>
      <name val="Arial"/>
      <family val="2"/>
      <scheme val="minor"/>
    </font>
    <font>
      <b/>
      <sz val="20"/>
      <color rgb="FF000000"/>
      <name val="Aptos"/>
      <family val="2"/>
    </font>
    <font>
      <sz val="9"/>
      <color rgb="FF000000"/>
      <name val="Segoe UI"/>
      <family val="2"/>
    </font>
    <font>
      <sz val="12"/>
      <color theme="9" tint="-0.249977111117893"/>
      <name val="Aptos"/>
      <family val="2"/>
    </font>
    <font>
      <sz val="12"/>
      <color rgb="FFC00000"/>
      <name val="Aptos"/>
      <family val="2"/>
    </font>
    <font>
      <sz val="12"/>
      <color rgb="FF00B0F0"/>
      <name val="Aptos"/>
      <family val="2"/>
    </font>
    <font>
      <sz val="12"/>
      <color rgb="FF0070C0"/>
      <name val="Aptos"/>
      <family val="2"/>
    </font>
    <font>
      <sz val="12"/>
      <color rgb="FF00B050"/>
      <name val="Aptos"/>
      <family val="2"/>
    </font>
    <font>
      <sz val="12"/>
      <color rgb="FF92D050"/>
      <name val="Aptos"/>
      <family val="2"/>
    </font>
    <font>
      <sz val="16"/>
      <color rgb="FF7030A0"/>
      <name val="Aptos"/>
      <family val="2"/>
    </font>
    <font>
      <sz val="12"/>
      <color rgb="FF7030A0"/>
      <name val="Aptos"/>
      <family val="2"/>
    </font>
    <font>
      <b/>
      <sz val="12"/>
      <color rgb="FF7030A0"/>
      <name val="Aptos"/>
      <family val="2"/>
    </font>
    <font>
      <sz val="10"/>
      <color rgb="FF7030A0"/>
      <name val="Arial"/>
      <family val="2"/>
      <scheme val="minor"/>
    </font>
    <font>
      <b/>
      <sz val="16"/>
      <color rgb="FF7030A0"/>
      <name val="Aptos"/>
      <family val="2"/>
    </font>
    <font>
      <sz val="11"/>
      <color rgb="FF000000"/>
      <name val="Calibri"/>
      <family val="2"/>
    </font>
    <font>
      <sz val="8"/>
      <name val="Arial"/>
      <scheme val="minor"/>
    </font>
    <font>
      <sz val="9"/>
      <color rgb="FF151515"/>
      <name val="Arial"/>
      <family val="2"/>
      <scheme val="minor"/>
    </font>
    <font>
      <sz val="24"/>
      <color rgb="FF151515"/>
      <name val="Arial"/>
      <family val="2"/>
      <scheme val="minor"/>
    </font>
    <font>
      <sz val="12"/>
      <color rgb="FF151515"/>
      <name val="Arial"/>
      <family val="2"/>
      <scheme val="minor"/>
    </font>
    <font>
      <sz val="9"/>
      <color indexed="81"/>
      <name val="Tahoma"/>
      <charset val="1"/>
    </font>
    <font>
      <b/>
      <sz val="9"/>
      <color indexed="81"/>
      <name val="Tahoma"/>
      <charset val="1"/>
    </font>
    <font>
      <u/>
      <sz val="10"/>
      <color theme="10"/>
      <name val="Arial"/>
      <scheme val="minor"/>
    </font>
    <font>
      <b/>
      <sz val="22"/>
      <color rgb="FF000000"/>
      <name val="Aptos"/>
      <family val="2"/>
    </font>
    <font>
      <b/>
      <sz val="22"/>
      <color rgb="FF000000"/>
      <name val="Arial"/>
      <family val="2"/>
    </font>
    <font>
      <b/>
      <sz val="12"/>
      <color rgb="FF89824E"/>
      <name val="Aptos"/>
      <family val="2"/>
    </font>
    <font>
      <sz val="12"/>
      <color rgb="FF89824E"/>
      <name val="Aptos"/>
      <family val="2"/>
    </font>
    <font>
      <b/>
      <sz val="12"/>
      <color rgb="FF000000"/>
      <name val="Aptos"/>
    </font>
    <font>
      <sz val="10"/>
      <color rgb="FF000000"/>
      <name val="Aptos"/>
    </font>
    <font>
      <sz val="12"/>
      <color rgb="FF000000"/>
      <name val="Aptos"/>
    </font>
    <font>
      <b/>
      <sz val="11"/>
      <color rgb="FF000000"/>
      <name val="Aptos"/>
    </font>
    <font>
      <sz val="11"/>
      <color rgb="FF000000"/>
      <name val="Aptos"/>
    </font>
    <font>
      <b/>
      <sz val="11"/>
      <color theme="2" tint="-0.499984740745262"/>
      <name val="Aptos"/>
    </font>
    <font>
      <sz val="11"/>
      <color theme="2" tint="-0.499984740745262"/>
      <name val="Aptos"/>
    </font>
    <font>
      <sz val="12"/>
      <color rgb="FFFF0000"/>
      <name val="Aptos"/>
    </font>
    <font>
      <sz val="12"/>
      <color theme="2" tint="-0.499984740745262"/>
      <name val="Aptos"/>
    </font>
    <font>
      <sz val="12"/>
      <color rgb="FF000000"/>
      <name val="Aptos"/>
      <charset val="1"/>
    </font>
  </fonts>
  <fills count="32">
    <fill>
      <patternFill patternType="none"/>
    </fill>
    <fill>
      <patternFill patternType="gray125"/>
    </fill>
    <fill>
      <patternFill patternType="solid">
        <fgColor rgb="FFFF0000"/>
        <bgColor rgb="FFFF0000"/>
      </patternFill>
    </fill>
    <fill>
      <patternFill patternType="solid">
        <fgColor theme="9" tint="0.59999389629810485"/>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rgb="FFEAF4D7"/>
        <bgColor rgb="FF000000"/>
      </patternFill>
    </fill>
    <fill>
      <patternFill patternType="solid">
        <fgColor rgb="FFFFC00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rgb="FF92D050"/>
        <bgColor indexed="64"/>
      </patternFill>
    </fill>
    <fill>
      <patternFill patternType="solid">
        <fgColor theme="4"/>
        <bgColor indexed="64"/>
      </patternFill>
    </fill>
    <fill>
      <patternFill patternType="solid">
        <fgColor rgb="FFFF0000"/>
        <bgColor indexed="64"/>
      </patternFill>
    </fill>
    <fill>
      <patternFill patternType="solid">
        <fgColor rgb="FF7030A0"/>
        <bgColor indexed="64"/>
      </patternFill>
    </fill>
    <fill>
      <patternFill patternType="solid">
        <fgColor rgb="FFFF3399"/>
        <bgColor indexed="64"/>
      </patternFill>
    </fill>
    <fill>
      <patternFill patternType="solid">
        <fgColor rgb="FF00B050"/>
        <bgColor indexed="64"/>
      </patternFill>
    </fill>
    <fill>
      <patternFill patternType="solid">
        <fgColor theme="4" tint="0.79998168889431442"/>
        <bgColor indexed="64"/>
      </patternFill>
    </fill>
    <fill>
      <patternFill patternType="solid">
        <fgColor rgb="FFB5E6DA"/>
        <bgColor rgb="FF000000"/>
      </patternFill>
    </fill>
    <fill>
      <patternFill patternType="solid">
        <fgColor rgb="FFF2F2F2"/>
        <bgColor rgb="FF000000"/>
      </patternFill>
    </fill>
    <fill>
      <patternFill patternType="solid">
        <fgColor rgb="FFFFFFFF"/>
        <bgColor rgb="FF000000"/>
      </patternFill>
    </fill>
    <fill>
      <patternFill patternType="solid">
        <fgColor theme="0"/>
        <bgColor indexed="64"/>
      </patternFill>
    </fill>
    <fill>
      <patternFill patternType="solid">
        <fgColor rgb="FFFF0000"/>
        <bgColor rgb="FF000000"/>
      </patternFill>
    </fill>
  </fills>
  <borders count="23">
    <border>
      <left/>
      <right/>
      <top/>
      <bottom/>
      <diagonal/>
    </border>
    <border>
      <left/>
      <right/>
      <top style="thin">
        <color rgb="FFD9D9D9"/>
      </top>
      <bottom/>
      <diagonal/>
    </border>
    <border>
      <left style="thin">
        <color rgb="FFF2F2F2"/>
      </left>
      <right style="thin">
        <color rgb="FFF2F2F2"/>
      </right>
      <top style="thin">
        <color rgb="FFF2F2F2"/>
      </top>
      <bottom style="thin">
        <color rgb="FFF2F2F2"/>
      </bottom>
      <diagonal/>
    </border>
    <border>
      <left style="thin">
        <color rgb="FFD9D9D9"/>
      </left>
      <right/>
      <top style="thin">
        <color rgb="FFD9D9D9"/>
      </top>
      <bottom/>
      <diagonal/>
    </border>
    <border>
      <left/>
      <right style="thin">
        <color rgb="FFD9D9D9"/>
      </right>
      <top style="thin">
        <color rgb="FFD9D9D9"/>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right style="thin">
        <color rgb="FFD9D9D9"/>
      </right>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right style="thin">
        <color rgb="FFD9D9D9"/>
      </right>
      <top/>
      <bottom/>
      <diagonal/>
    </border>
    <border>
      <left style="thin">
        <color rgb="FFD9D9D9"/>
      </left>
      <right/>
      <top style="thin">
        <color rgb="FFD9D9D9"/>
      </top>
      <bottom style="thin">
        <color rgb="FFD9D9D9"/>
      </bottom>
      <diagonal/>
    </border>
    <border>
      <left style="thin">
        <color rgb="FFD9D9D9"/>
      </left>
      <right/>
      <top/>
      <bottom style="thin">
        <color rgb="FFD9D9D9"/>
      </bottom>
      <diagonal/>
    </border>
    <border>
      <left/>
      <right/>
      <top style="thin">
        <color rgb="FFD9D9D9"/>
      </top>
      <bottom style="thin">
        <color rgb="FFD9D9D9"/>
      </bottom>
      <diagonal/>
    </border>
    <border>
      <left/>
      <right/>
      <top/>
      <bottom style="thin">
        <color rgb="FFD9D9D9"/>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style="thin">
        <color theme="0" tint="-0.14999847407452621"/>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bottom/>
      <diagonal/>
    </border>
  </borders>
  <cellStyleXfs count="3">
    <xf numFmtId="0" fontId="0" fillId="0" borderId="0"/>
    <xf numFmtId="0" fontId="7" fillId="0" borderId="0" applyNumberFormat="0" applyFill="0" applyBorder="0" applyAlignment="0" applyProtection="0"/>
    <xf numFmtId="9" fontId="42" fillId="0" borderId="0" applyFont="0" applyFill="0" applyBorder="0" applyAlignment="0" applyProtection="0"/>
  </cellStyleXfs>
  <cellXfs count="370">
    <xf numFmtId="0" fontId="0" fillId="0" borderId="0" xfId="0"/>
    <xf numFmtId="0" fontId="1" fillId="0" borderId="0" xfId="0" applyFont="1"/>
    <xf numFmtId="0" fontId="4" fillId="0" borderId="0" xfId="0" applyFont="1"/>
    <xf numFmtId="0" fontId="3" fillId="0" borderId="0" xfId="0" applyFont="1"/>
    <xf numFmtId="0" fontId="2" fillId="0" borderId="0" xfId="0" applyFont="1"/>
    <xf numFmtId="0" fontId="4" fillId="0" borderId="0" xfId="0" applyFont="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vertical="center" wrapText="1"/>
    </xf>
    <xf numFmtId="3" fontId="4" fillId="0" borderId="0" xfId="0" applyNumberFormat="1" applyFont="1" applyAlignment="1">
      <alignment vertical="center" wrapText="1"/>
    </xf>
    <xf numFmtId="0" fontId="6" fillId="0" borderId="0" xfId="0" applyFont="1"/>
    <xf numFmtId="0" fontId="2" fillId="2" borderId="0" xfId="0" applyFont="1" applyFill="1"/>
    <xf numFmtId="0" fontId="6" fillId="0" borderId="0" xfId="0" applyFont="1" applyAlignment="1">
      <alignment horizontal="right"/>
    </xf>
    <xf numFmtId="0" fontId="3" fillId="0" borderId="0" xfId="0" applyFont="1" applyAlignment="1">
      <alignment horizontal="right"/>
    </xf>
    <xf numFmtId="3" fontId="3" fillId="0" borderId="0" xfId="0" applyNumberFormat="1" applyFont="1" applyAlignment="1">
      <alignment horizontal="right"/>
    </xf>
    <xf numFmtId="3" fontId="3" fillId="0" borderId="0" xfId="0" applyNumberFormat="1" applyFont="1"/>
    <xf numFmtId="0" fontId="5" fillId="0" borderId="0" xfId="0" applyFont="1"/>
    <xf numFmtId="0" fontId="7" fillId="0" borderId="0" xfId="1"/>
    <xf numFmtId="0" fontId="11" fillId="0" borderId="0" xfId="0" applyFont="1"/>
    <xf numFmtId="0" fontId="12" fillId="0" borderId="0" xfId="0" applyFont="1" applyAlignment="1">
      <alignment horizontal="center" vertical="center" wrapText="1"/>
    </xf>
    <xf numFmtId="0" fontId="12" fillId="0" borderId="0" xfId="0" applyFont="1" applyAlignment="1">
      <alignment horizontal="center" vertical="center"/>
    </xf>
    <xf numFmtId="0" fontId="12" fillId="0" borderId="0" xfId="0" applyFont="1" applyAlignment="1">
      <alignment vertical="center" wrapText="1"/>
    </xf>
    <xf numFmtId="3" fontId="12" fillId="0" borderId="0" xfId="0" applyNumberFormat="1" applyFont="1" applyAlignment="1">
      <alignment vertical="center" wrapText="1"/>
    </xf>
    <xf numFmtId="0" fontId="13" fillId="0" borderId="0" xfId="0" applyFont="1">
      <extLst>
        <ext xmlns:xfpb="http://schemas.microsoft.com/office/spreadsheetml/2022/featurepropertybag" uri="{C7286773-470A-42A8-94C5-96B5CB345126}">
          <xfpb:xfComplement i="0"/>
        </ext>
      </extLst>
    </xf>
    <xf numFmtId="0" fontId="13" fillId="0" borderId="0" xfId="0" applyFont="1"/>
    <xf numFmtId="0" fontId="14" fillId="0" borderId="0" xfId="0" applyFont="1"/>
    <xf numFmtId="0" fontId="15" fillId="0" borderId="0" xfId="0" applyFont="1"/>
    <xf numFmtId="3" fontId="11" fillId="0" borderId="0" xfId="0" applyNumberFormat="1" applyFont="1" applyAlignment="1">
      <alignment horizontal="right"/>
    </xf>
    <xf numFmtId="3" fontId="13" fillId="0" borderId="0" xfId="0" applyNumberFormat="1" applyFont="1"/>
    <xf numFmtId="0" fontId="17" fillId="0" borderId="0" xfId="0" applyFont="1"/>
    <xf numFmtId="0" fontId="18" fillId="0" borderId="0" xfId="0" applyFont="1" applyAlignment="1">
      <alignment horizontal="center" vertical="center" wrapText="1"/>
    </xf>
    <xf numFmtId="0" fontId="19" fillId="0" borderId="0" xfId="0" applyFont="1"/>
    <xf numFmtId="0" fontId="16" fillId="3" borderId="0" xfId="0" applyFont="1" applyFill="1"/>
    <xf numFmtId="0" fontId="17" fillId="3" borderId="0" xfId="0" applyFont="1" applyFill="1"/>
    <xf numFmtId="0" fontId="16" fillId="4" borderId="0" xfId="0" applyFont="1" applyFill="1"/>
    <xf numFmtId="0" fontId="20" fillId="5" borderId="0" xfId="0" applyFont="1" applyFill="1"/>
    <xf numFmtId="0" fontId="16" fillId="6" borderId="0" xfId="0" applyFont="1" applyFill="1"/>
    <xf numFmtId="0" fontId="17" fillId="6" borderId="0" xfId="0" applyFont="1" applyFill="1"/>
    <xf numFmtId="0" fontId="16" fillId="0" borderId="0" xfId="0" applyFont="1"/>
    <xf numFmtId="0" fontId="16" fillId="7" borderId="0" xfId="0" applyFont="1" applyFill="1"/>
    <xf numFmtId="0" fontId="20" fillId="8" borderId="0" xfId="0" applyFont="1" applyFill="1"/>
    <xf numFmtId="0" fontId="21" fillId="8" borderId="0" xfId="0" applyFont="1" applyFill="1"/>
    <xf numFmtId="0" fontId="16" fillId="5" borderId="0" xfId="0" applyFont="1" applyFill="1"/>
    <xf numFmtId="0" fontId="17" fillId="5" borderId="0" xfId="0" applyFont="1" applyFill="1"/>
    <xf numFmtId="0" fontId="16" fillId="9" borderId="0" xfId="0" applyFont="1" applyFill="1"/>
    <xf numFmtId="0" fontId="22" fillId="0" borderId="0" xfId="0" applyFont="1"/>
    <xf numFmtId="0" fontId="11" fillId="3" borderId="0" xfId="0" applyFont="1" applyFill="1"/>
    <xf numFmtId="0" fontId="11" fillId="0" borderId="0" xfId="0" applyFont="1" applyAlignment="1">
      <alignment wrapText="1"/>
    </xf>
    <xf numFmtId="0" fontId="23" fillId="0" borderId="0" xfId="1" applyFont="1"/>
    <xf numFmtId="0" fontId="12" fillId="0" borderId="0" xfId="0" applyFont="1"/>
    <xf numFmtId="0" fontId="12" fillId="0" borderId="0" xfId="0" applyFont="1" applyAlignment="1">
      <alignment wrapText="1"/>
    </xf>
    <xf numFmtId="0" fontId="13" fillId="0" borderId="0" xfId="0" applyFont="1" applyAlignment="1">
      <alignment wrapText="1"/>
    </xf>
    <xf numFmtId="0" fontId="11" fillId="3" borderId="0" xfId="0" applyFont="1" applyFill="1" applyAlignment="1">
      <alignment wrapText="1"/>
    </xf>
    <xf numFmtId="0" fontId="22" fillId="0" borderId="0" xfId="0" applyFont="1" applyAlignment="1">
      <alignment wrapText="1"/>
    </xf>
    <xf numFmtId="49" fontId="12" fillId="0" borderId="0" xfId="0" applyNumberFormat="1" applyFont="1"/>
    <xf numFmtId="49" fontId="11" fillId="0" borderId="0" xfId="0" applyNumberFormat="1" applyFont="1"/>
    <xf numFmtId="0" fontId="24" fillId="0" borderId="0" xfId="0" applyFont="1"/>
    <xf numFmtId="0" fontId="13" fillId="10" borderId="0" xfId="0" applyFont="1" applyFill="1"/>
    <xf numFmtId="0" fontId="10" fillId="0" borderId="0" xfId="0" applyFont="1"/>
    <xf numFmtId="0" fontId="16" fillId="6" borderId="0" xfId="0" applyFont="1" applyFill="1" applyAlignment="1">
      <alignment wrapText="1"/>
    </xf>
    <xf numFmtId="0" fontId="20" fillId="0" borderId="0" xfId="0" applyFont="1"/>
    <xf numFmtId="0" fontId="28" fillId="0" borderId="0" xfId="0" applyFont="1"/>
    <xf numFmtId="0" fontId="29" fillId="0" borderId="0" xfId="0" applyFont="1"/>
    <xf numFmtId="0" fontId="30" fillId="0" borderId="0" xfId="0" applyFont="1"/>
    <xf numFmtId="0" fontId="31" fillId="0" borderId="0" xfId="0" applyFont="1"/>
    <xf numFmtId="0" fontId="0" fillId="0" borderId="0" xfId="0" applyAlignment="1">
      <alignment wrapText="1"/>
    </xf>
    <xf numFmtId="0" fontId="32" fillId="0" borderId="0" xfId="0" applyFont="1"/>
    <xf numFmtId="0" fontId="12" fillId="10" borderId="0" xfId="0" applyFont="1" applyFill="1" applyAlignment="1">
      <alignment horizontal="center" vertical="center"/>
    </xf>
    <xf numFmtId="0" fontId="12" fillId="10" borderId="0" xfId="0" applyFont="1" applyFill="1" applyAlignment="1">
      <alignment horizontal="center" vertical="center" wrapText="1"/>
    </xf>
    <xf numFmtId="0" fontId="13" fillId="11" borderId="0" xfId="0" applyFont="1" applyFill="1" applyAlignment="1">
      <alignment horizontal="center" vertical="center" wrapText="1"/>
    </xf>
    <xf numFmtId="0" fontId="13" fillId="0" borderId="0" xfId="0" applyFont="1" applyAlignment="1">
      <alignment vertical="center" wrapText="1"/>
    </xf>
    <xf numFmtId="0" fontId="0" fillId="11" borderId="0" xfId="0" applyFill="1"/>
    <xf numFmtId="0" fontId="22" fillId="0" borderId="0" xfId="0" applyFont="1" applyAlignment="1">
      <alignment vertical="center" wrapText="1"/>
    </xf>
    <xf numFmtId="1" fontId="32" fillId="0" borderId="0" xfId="0" applyNumberFormat="1" applyFont="1"/>
    <xf numFmtId="1" fontId="11" fillId="0" borderId="0" xfId="0" applyNumberFormat="1" applyFont="1"/>
    <xf numFmtId="0" fontId="29" fillId="0" borderId="0" xfId="0" applyFont="1" applyAlignment="1">
      <alignment horizontal="center" vertical="center" wrapText="1"/>
    </xf>
    <xf numFmtId="0" fontId="29"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center" vertical="center"/>
    </xf>
    <xf numFmtId="0" fontId="29" fillId="0" borderId="0" xfId="0" applyFont="1" applyAlignment="1">
      <alignment horizontal="left"/>
    </xf>
    <xf numFmtId="0" fontId="29" fillId="0" borderId="0" xfId="0" applyFont="1" applyAlignment="1">
      <alignment horizontal="left" vertical="center" wrapText="1"/>
    </xf>
    <xf numFmtId="0" fontId="29" fillId="0" borderId="0" xfId="0" applyFont="1" applyAlignment="1">
      <alignment horizontal="left" vertical="center"/>
    </xf>
    <xf numFmtId="0" fontId="0" fillId="0" borderId="0" xfId="0" applyAlignment="1">
      <alignment horizontal="left"/>
    </xf>
    <xf numFmtId="0" fontId="7" fillId="0" borderId="0" xfId="1" applyAlignment="1">
      <alignment vertical="top"/>
    </xf>
    <xf numFmtId="0" fontId="22" fillId="0" borderId="0" xfId="0" applyFont="1" applyAlignment="1">
      <alignment vertical="top"/>
    </xf>
    <xf numFmtId="0" fontId="29" fillId="0" borderId="0" xfId="0" applyFont="1" applyAlignment="1">
      <alignment vertical="center" wrapText="1"/>
    </xf>
    <xf numFmtId="0" fontId="33" fillId="0" borderId="0" xfId="0" applyFont="1" applyAlignment="1">
      <alignment vertical="center" wrapText="1"/>
    </xf>
    <xf numFmtId="0" fontId="7" fillId="0" borderId="0" xfId="1" applyAlignment="1">
      <alignment vertical="center" wrapText="1"/>
    </xf>
    <xf numFmtId="0" fontId="22" fillId="12" borderId="0" xfId="0" applyFont="1" applyFill="1"/>
    <xf numFmtId="0" fontId="22" fillId="12" borderId="0" xfId="0" applyFont="1" applyFill="1" applyAlignment="1">
      <alignment wrapText="1"/>
    </xf>
    <xf numFmtId="0" fontId="22" fillId="13" borderId="0" xfId="0" applyFont="1" applyFill="1"/>
    <xf numFmtId="0" fontId="11" fillId="13" borderId="0" xfId="0" applyFont="1" applyFill="1"/>
    <xf numFmtId="0" fontId="22" fillId="14" borderId="0" xfId="0" applyFont="1" applyFill="1"/>
    <xf numFmtId="0" fontId="11" fillId="14" borderId="0" xfId="0" applyFont="1" applyFill="1"/>
    <xf numFmtId="0" fontId="13" fillId="10" borderId="0" xfId="0" applyFont="1" applyFill="1" applyAlignment="1">
      <alignment vertical="center" wrapText="1"/>
    </xf>
    <xf numFmtId="0" fontId="11" fillId="10" borderId="0" xfId="0" applyFont="1" applyFill="1"/>
    <xf numFmtId="164" fontId="27" fillId="0" borderId="0" xfId="0" applyNumberFormat="1" applyFont="1"/>
    <xf numFmtId="164" fontId="11" fillId="0" borderId="0" xfId="0" applyNumberFormat="1" applyFont="1"/>
    <xf numFmtId="164" fontId="25" fillId="4" borderId="0" xfId="0" applyNumberFormat="1" applyFont="1" applyFill="1"/>
    <xf numFmtId="164" fontId="16" fillId="4" borderId="0" xfId="0" applyNumberFormat="1" applyFont="1" applyFill="1"/>
    <xf numFmtId="164" fontId="26" fillId="0" borderId="0" xfId="0" applyNumberFormat="1" applyFont="1"/>
    <xf numFmtId="164" fontId="22" fillId="0" borderId="0" xfId="0" applyNumberFormat="1" applyFont="1"/>
    <xf numFmtId="14" fontId="13" fillId="0" borderId="0" xfId="0" applyNumberFormat="1" applyFont="1"/>
    <xf numFmtId="0" fontId="7" fillId="0" borderId="0" xfId="1" applyFill="1" applyBorder="1" applyAlignment="1"/>
    <xf numFmtId="0" fontId="37" fillId="0" borderId="0" xfId="0" applyFont="1"/>
    <xf numFmtId="0" fontId="11" fillId="10" borderId="0" xfId="0" applyFont="1" applyFill="1" applyAlignment="1">
      <alignment wrapText="1"/>
    </xf>
    <xf numFmtId="0" fontId="14" fillId="0" borderId="0" xfId="0" applyFont="1" applyAlignment="1">
      <alignment wrapText="1"/>
    </xf>
    <xf numFmtId="0" fontId="13" fillId="15" borderId="0" xfId="0" applyFont="1" applyFill="1"/>
    <xf numFmtId="0" fontId="38" fillId="0" borderId="0" xfId="0" applyFont="1"/>
    <xf numFmtId="0" fontId="39" fillId="0" borderId="0" xfId="0" applyFont="1"/>
    <xf numFmtId="49" fontId="7" fillId="0" borderId="0" xfId="1" applyNumberFormat="1"/>
    <xf numFmtId="1" fontId="13" fillId="0" borderId="0" xfId="0" applyNumberFormat="1" applyFont="1"/>
    <xf numFmtId="0" fontId="11" fillId="15" borderId="0" xfId="0" applyFont="1" applyFill="1"/>
    <xf numFmtId="0" fontId="11" fillId="16" borderId="0" xfId="0" applyFont="1" applyFill="1" applyAlignment="1">
      <alignment wrapText="1"/>
    </xf>
    <xf numFmtId="0" fontId="11" fillId="17" borderId="0" xfId="0" applyFont="1" applyFill="1"/>
    <xf numFmtId="0" fontId="11" fillId="18" borderId="0" xfId="0" applyFont="1" applyFill="1" applyAlignment="1">
      <alignment wrapText="1"/>
    </xf>
    <xf numFmtId="0" fontId="11" fillId="19" borderId="0" xfId="0" applyFont="1" applyFill="1" applyAlignment="1">
      <alignment wrapText="1"/>
    </xf>
    <xf numFmtId="0" fontId="40" fillId="15" borderId="0" xfId="0" applyFont="1" applyFill="1" applyAlignment="1">
      <alignment horizontal="center" vertical="center" wrapText="1"/>
    </xf>
    <xf numFmtId="0" fontId="11" fillId="17" borderId="0" xfId="0" applyFont="1" applyFill="1" applyAlignment="1">
      <alignment wrapText="1"/>
    </xf>
    <xf numFmtId="0" fontId="13" fillId="0" borderId="0" xfId="0" applyFont="1" applyAlignment="1">
      <alignment vertical="center"/>
      <extLst>
        <ext xmlns:xfpb="http://schemas.microsoft.com/office/spreadsheetml/2022/featurepropertybag" uri="{C7286773-470A-42A8-94C5-96B5CB345126}">
          <xfpb:xfComplement i="0"/>
        </ext>
      </extLst>
    </xf>
    <xf numFmtId="0" fontId="13" fillId="10" borderId="0" xfId="0" applyFont="1" applyFill="1" applyAlignment="1">
      <alignment vertical="center"/>
    </xf>
    <xf numFmtId="0" fontId="11" fillId="10" borderId="0" xfId="0" applyFont="1" applyFill="1" applyAlignment="1">
      <alignment vertical="center" wrapText="1"/>
    </xf>
    <xf numFmtId="0" fontId="13" fillId="0" borderId="0" xfId="0" applyFont="1" applyAlignment="1">
      <alignment vertical="center"/>
    </xf>
    <xf numFmtId="0" fontId="11"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wrapText="1"/>
      <extLst>
        <ext xmlns:xfpb="http://schemas.microsoft.com/office/spreadsheetml/2022/featurepropertybag" uri="{C7286773-470A-42A8-94C5-96B5CB345126}">
          <xfpb:xfComplement i="0"/>
        </ext>
      </extLst>
    </xf>
    <xf numFmtId="0" fontId="19" fillId="0" borderId="0" xfId="0" applyFont="1" applyAlignment="1">
      <alignment vertical="center" wrapText="1"/>
    </xf>
    <xf numFmtId="0" fontId="11" fillId="20" borderId="0" xfId="0" applyFont="1" applyFill="1" applyAlignment="1">
      <alignment vertical="center" wrapText="1"/>
    </xf>
    <xf numFmtId="0" fontId="14" fillId="20" borderId="0" xfId="0" applyFont="1" applyFill="1" applyAlignment="1">
      <alignment vertical="center" wrapText="1"/>
    </xf>
    <xf numFmtId="0" fontId="13" fillId="20" borderId="0" xfId="0" applyFont="1" applyFill="1" applyAlignment="1">
      <alignment vertical="center" wrapText="1"/>
    </xf>
    <xf numFmtId="0" fontId="13" fillId="21" borderId="0" xfId="0" applyFont="1" applyFill="1" applyAlignment="1">
      <alignment vertical="center" wrapText="1"/>
    </xf>
    <xf numFmtId="0" fontId="11" fillId="21" borderId="0" xfId="0" applyFont="1" applyFill="1" applyAlignment="1">
      <alignment vertical="center" wrapText="1"/>
    </xf>
    <xf numFmtId="3" fontId="11" fillId="10" borderId="0" xfId="0" applyNumberFormat="1" applyFont="1" applyFill="1" applyAlignment="1">
      <alignment horizontal="right" vertical="center" wrapText="1"/>
    </xf>
    <xf numFmtId="0" fontId="11" fillId="18" borderId="0" xfId="0" applyFont="1" applyFill="1" applyAlignment="1">
      <alignment vertical="center" wrapText="1"/>
    </xf>
    <xf numFmtId="0" fontId="22" fillId="10" borderId="0" xfId="0" applyFont="1" applyFill="1"/>
    <xf numFmtId="0" fontId="41" fillId="0" borderId="0" xfId="0" applyFont="1"/>
    <xf numFmtId="9" fontId="13" fillId="0" borderId="0" xfId="2" applyFont="1"/>
    <xf numFmtId="0" fontId="11" fillId="22" borderId="0" xfId="0" applyFont="1" applyFill="1" applyAlignment="1">
      <alignment horizontal="center" vertical="center" wrapText="1"/>
    </xf>
    <xf numFmtId="9" fontId="11" fillId="0" borderId="0" xfId="2" applyFont="1"/>
    <xf numFmtId="165" fontId="11" fillId="0" borderId="0" xfId="2" applyNumberFormat="1" applyFont="1"/>
    <xf numFmtId="0" fontId="11" fillId="17" borderId="0" xfId="0" applyFont="1" applyFill="1" applyAlignment="1">
      <alignment horizontal="center" vertical="center" wrapText="1"/>
    </xf>
    <xf numFmtId="9" fontId="11" fillId="0" borderId="0" xfId="2" applyFont="1" applyAlignment="1">
      <alignment vertical="center"/>
    </xf>
    <xf numFmtId="165" fontId="11" fillId="0" borderId="0" xfId="2" applyNumberFormat="1" applyFont="1" applyAlignment="1">
      <alignment vertical="center"/>
    </xf>
    <xf numFmtId="0" fontId="11" fillId="0" borderId="0" xfId="0" applyFont="1" applyAlignment="1">
      <alignment horizontal="center" vertical="center"/>
    </xf>
    <xf numFmtId="2" fontId="11" fillId="0" borderId="0" xfId="2" applyNumberFormat="1" applyFont="1"/>
    <xf numFmtId="0" fontId="23" fillId="0" borderId="0" xfId="1" applyFont="1" applyAlignment="1"/>
    <xf numFmtId="0" fontId="43" fillId="16" borderId="0" xfId="1" applyFont="1" applyFill="1" applyBorder="1" applyAlignment="1">
      <alignment wrapText="1"/>
    </xf>
    <xf numFmtId="0" fontId="0" fillId="22" borderId="0" xfId="0" applyFill="1"/>
    <xf numFmtId="0" fontId="0" fillId="17" borderId="0" xfId="0" applyFill="1"/>
    <xf numFmtId="0" fontId="30" fillId="17" borderId="0" xfId="0" applyFont="1" applyFill="1"/>
    <xf numFmtId="0" fontId="13" fillId="22" borderId="0" xfId="0" applyFont="1" applyFill="1"/>
    <xf numFmtId="0" fontId="16" fillId="7" borderId="0" xfId="0" applyFont="1" applyFill="1" applyAlignment="1">
      <alignment horizontal="center"/>
    </xf>
    <xf numFmtId="0" fontId="16" fillId="10" borderId="0" xfId="0" applyFont="1" applyFill="1"/>
    <xf numFmtId="0" fontId="11" fillId="23" borderId="0" xfId="0" applyFont="1" applyFill="1"/>
    <xf numFmtId="0" fontId="13" fillId="23" borderId="0" xfId="0" applyFont="1" applyFill="1"/>
    <xf numFmtId="0" fontId="11" fillId="23" borderId="0" xfId="0" applyFont="1" applyFill="1" applyAlignment="1">
      <alignment wrapText="1"/>
    </xf>
    <xf numFmtId="0" fontId="0" fillId="10" borderId="0" xfId="0" applyFill="1"/>
    <xf numFmtId="0" fontId="27" fillId="17" borderId="0" xfId="0" applyFont="1" applyFill="1"/>
    <xf numFmtId="0" fontId="13" fillId="0" borderId="0" xfId="0" applyFont="1" applyAlignment="1">
      <alignment horizontal="right"/>
    </xf>
    <xf numFmtId="0" fontId="11" fillId="22" borderId="0" xfId="0" applyFont="1" applyFill="1"/>
    <xf numFmtId="0" fontId="44" fillId="22" borderId="0" xfId="0" applyFont="1" applyFill="1"/>
    <xf numFmtId="10" fontId="11" fillId="0" borderId="0" xfId="0" applyNumberFormat="1" applyFont="1"/>
    <xf numFmtId="0" fontId="14" fillId="0" borderId="0" xfId="0" applyFont="1">
      <extLst>
        <ext xmlns:xfpb="http://schemas.microsoft.com/office/spreadsheetml/2022/featurepropertybag" uri="{C7286773-470A-42A8-94C5-96B5CB345126}">
          <xfpb:xfComplement i="0"/>
        </ext>
      </extLst>
    </xf>
    <xf numFmtId="0" fontId="13" fillId="24" borderId="0" xfId="0" applyFont="1" applyFill="1"/>
    <xf numFmtId="0" fontId="11" fillId="24" borderId="0" xfId="0" applyFont="1" applyFill="1"/>
    <xf numFmtId="0" fontId="13" fillId="0" borderId="0" xfId="0" applyFont="1" applyAlignment="1">
      <alignment horizontal="center"/>
    </xf>
    <xf numFmtId="3" fontId="46" fillId="0" borderId="0" xfId="0" applyNumberFormat="1" applyFont="1" applyAlignment="1">
      <alignment horizontal="right"/>
    </xf>
    <xf numFmtId="3" fontId="47" fillId="0" borderId="0" xfId="0" applyNumberFormat="1" applyFont="1" applyAlignment="1">
      <alignment horizontal="right"/>
    </xf>
    <xf numFmtId="3" fontId="48" fillId="10" borderId="0" xfId="0" applyNumberFormat="1" applyFont="1" applyFill="1" applyAlignment="1">
      <alignment horizontal="right" vertical="center" wrapText="1"/>
    </xf>
    <xf numFmtId="3" fontId="48" fillId="0" borderId="0" xfId="0" applyNumberFormat="1" applyFont="1" applyAlignment="1">
      <alignment horizontal="right"/>
    </xf>
    <xf numFmtId="3" fontId="47" fillId="10" borderId="0" xfId="0" applyNumberFormat="1" applyFont="1" applyFill="1" applyAlignment="1">
      <alignment horizontal="right" vertical="center" wrapText="1"/>
    </xf>
    <xf numFmtId="3" fontId="49" fillId="0" borderId="0" xfId="0" applyNumberFormat="1" applyFont="1" applyAlignment="1">
      <alignment horizontal="right"/>
    </xf>
    <xf numFmtId="1" fontId="0" fillId="0" borderId="0" xfId="0" applyNumberFormat="1"/>
    <xf numFmtId="0" fontId="19" fillId="0" borderId="0" xfId="0" applyFont="1" applyAlignment="1">
      <alignment vertical="center"/>
    </xf>
    <xf numFmtId="0" fontId="14" fillId="0" borderId="0" xfId="0" applyFont="1" applyAlignment="1">
      <alignment vertical="center"/>
    </xf>
    <xf numFmtId="2" fontId="47" fillId="0" borderId="0" xfId="0" applyNumberFormat="1" applyFont="1"/>
    <xf numFmtId="2" fontId="47" fillId="20" borderId="0" xfId="0" applyNumberFormat="1" applyFont="1" applyFill="1" applyAlignment="1">
      <alignment vertical="center" wrapText="1"/>
    </xf>
    <xf numFmtId="164" fontId="50" fillId="0" borderId="0" xfId="0" applyNumberFormat="1" applyFont="1"/>
    <xf numFmtId="166" fontId="51" fillId="0" borderId="0" xfId="0" applyNumberFormat="1" applyFont="1"/>
    <xf numFmtId="164" fontId="51" fillId="0" borderId="0" xfId="0" applyNumberFormat="1" applyFont="1"/>
    <xf numFmtId="0" fontId="13" fillId="0" borderId="0" xfId="0" applyFont="1" applyAlignment="1">
      <alignment horizontal="center" vertical="center" wrapText="1"/>
    </xf>
    <xf numFmtId="0" fontId="53" fillId="11" borderId="0" xfId="0" applyFont="1" applyFill="1" applyAlignment="1">
      <alignment horizontal="center" vertical="center" wrapText="1"/>
    </xf>
    <xf numFmtId="0" fontId="54" fillId="0" borderId="0" xfId="0" applyFont="1" applyAlignment="1">
      <alignment horizontal="center" vertical="center" wrapText="1"/>
    </xf>
    <xf numFmtId="0" fontId="53" fillId="10" borderId="0" xfId="0" applyFont="1" applyFill="1" applyAlignment="1">
      <alignment horizontal="center" vertical="center" wrapText="1"/>
    </xf>
    <xf numFmtId="0" fontId="53" fillId="0" borderId="0" xfId="0" applyFont="1" applyAlignment="1">
      <alignment horizontal="center" vertical="center"/>
    </xf>
    <xf numFmtId="0" fontId="52" fillId="5" borderId="0" xfId="0" applyFont="1" applyFill="1" applyAlignment="1">
      <alignment horizontal="center" vertical="center"/>
    </xf>
    <xf numFmtId="2" fontId="53" fillId="0" borderId="0" xfId="0" applyNumberFormat="1" applyFont="1" applyAlignment="1">
      <alignment horizontal="center" vertical="center"/>
    </xf>
    <xf numFmtId="0" fontId="55" fillId="0" borderId="0" xfId="0" applyFont="1" applyAlignment="1">
      <alignment horizontal="center" vertical="center"/>
    </xf>
    <xf numFmtId="0" fontId="56" fillId="5" borderId="0" xfId="0" applyFont="1" applyFill="1" applyAlignment="1">
      <alignment horizontal="center" vertical="center"/>
    </xf>
    <xf numFmtId="0" fontId="13" fillId="0" borderId="0" xfId="0" applyFont="1" applyAlignment="1">
      <alignment horizontal="center" vertical="center"/>
    </xf>
    <xf numFmtId="0" fontId="20" fillId="8" borderId="0" xfId="0" applyFont="1" applyFill="1" applyAlignment="1">
      <alignment horizontal="center" vertical="center"/>
    </xf>
    <xf numFmtId="2" fontId="13" fillId="0" borderId="0" xfId="0" applyNumberFormat="1" applyFont="1" applyAlignment="1">
      <alignment horizontal="center" vertical="center"/>
    </xf>
    <xf numFmtId="49" fontId="13" fillId="0" borderId="0" xfId="0" applyNumberFormat="1" applyFont="1" applyAlignment="1">
      <alignment horizontal="center" vertical="center"/>
    </xf>
    <xf numFmtId="0" fontId="17" fillId="5" borderId="0" xfId="0" applyFont="1" applyFill="1" applyAlignment="1">
      <alignment horizontal="center"/>
    </xf>
    <xf numFmtId="0" fontId="11" fillId="0" borderId="0" xfId="0" applyFont="1" applyAlignment="1">
      <alignment horizontal="center"/>
    </xf>
    <xf numFmtId="0" fontId="13" fillId="10" borderId="0" xfId="0" applyFont="1" applyFill="1" applyAlignment="1">
      <alignment horizontal="center" vertical="center" wrapText="1"/>
    </xf>
    <xf numFmtId="0" fontId="13" fillId="24" borderId="0" xfId="0" applyFont="1" applyFill="1" applyAlignment="1">
      <alignment horizontal="center"/>
    </xf>
    <xf numFmtId="0" fontId="11" fillId="24" borderId="0" xfId="0" applyFont="1" applyFill="1" applyAlignment="1">
      <alignment horizontal="center"/>
    </xf>
    <xf numFmtId="0" fontId="0" fillId="0" borderId="0" xfId="0" applyAlignment="1">
      <alignment horizontal="center"/>
    </xf>
    <xf numFmtId="164" fontId="47" fillId="0" borderId="0" xfId="0" applyNumberFormat="1" applyFont="1"/>
    <xf numFmtId="167" fontId="13" fillId="0" borderId="0" xfId="0" applyNumberFormat="1" applyFont="1"/>
    <xf numFmtId="164" fontId="14" fillId="0" borderId="0" xfId="0" applyNumberFormat="1" applyFont="1"/>
    <xf numFmtId="1" fontId="41" fillId="0" borderId="0" xfId="0" applyNumberFormat="1" applyFont="1"/>
    <xf numFmtId="0" fontId="16" fillId="26" borderId="0" xfId="0" applyFont="1" applyFill="1" applyAlignment="1">
      <alignment horizontal="left"/>
    </xf>
    <xf numFmtId="0" fontId="13" fillId="22" borderId="0" xfId="0" applyFont="1" applyFill="1">
      <extLst>
        <ext xmlns:xfpb="http://schemas.microsoft.com/office/spreadsheetml/2022/featurepropertybag" uri="{C7286773-470A-42A8-94C5-96B5CB345126}">
          <xfpb:xfComplement i="0"/>
        </ext>
      </extLst>
    </xf>
    <xf numFmtId="0" fontId="45" fillId="22" borderId="0" xfId="0" applyFont="1" applyFill="1"/>
    <xf numFmtId="0" fontId="19" fillId="22" borderId="0" xfId="0" applyFont="1" applyFill="1"/>
    <xf numFmtId="0" fontId="11" fillId="22" borderId="0" xfId="0" applyFont="1" applyFill="1" applyAlignment="1">
      <alignment wrapText="1"/>
    </xf>
    <xf numFmtId="0" fontId="13" fillId="22" borderId="0" xfId="0" applyFont="1" applyFill="1" applyAlignment="1">
      <alignment horizontal="center" vertical="center"/>
    </xf>
    <xf numFmtId="0" fontId="53" fillId="22" borderId="0" xfId="0" applyFont="1" applyFill="1" applyAlignment="1">
      <alignment horizontal="center" vertical="center"/>
    </xf>
    <xf numFmtId="0" fontId="27" fillId="22" borderId="0" xfId="0" applyFont="1" applyFill="1"/>
    <xf numFmtId="0" fontId="11" fillId="22" borderId="0" xfId="0" applyFont="1" applyFill="1" applyAlignment="1">
      <alignment horizontal="center"/>
    </xf>
    <xf numFmtId="0" fontId="34" fillId="22" borderId="0" xfId="0" applyFont="1" applyFill="1"/>
    <xf numFmtId="3" fontId="46" fillId="22" borderId="0" xfId="0" applyNumberFormat="1" applyFont="1" applyFill="1" applyAlignment="1">
      <alignment horizontal="right"/>
    </xf>
    <xf numFmtId="1" fontId="13" fillId="22" borderId="0" xfId="0" applyNumberFormat="1" applyFont="1" applyFill="1"/>
    <xf numFmtId="164" fontId="50" fillId="22" borderId="0" xfId="0" applyNumberFormat="1" applyFont="1" applyFill="1"/>
    <xf numFmtId="0" fontId="11" fillId="22" borderId="0" xfId="0" applyFont="1" applyFill="1" applyAlignment="1">
      <alignment horizontal="center" vertical="center"/>
    </xf>
    <xf numFmtId="0" fontId="13" fillId="22" borderId="0" xfId="0" applyFont="1" applyFill="1" applyAlignment="1">
      <alignment horizontal="right"/>
    </xf>
    <xf numFmtId="3" fontId="48" fillId="22" borderId="0" xfId="0" applyNumberFormat="1" applyFont="1" applyFill="1" applyAlignment="1">
      <alignment horizontal="right"/>
    </xf>
    <xf numFmtId="9" fontId="11" fillId="22" borderId="0" xfId="2" applyFont="1" applyFill="1" applyAlignment="1">
      <alignment vertical="center"/>
    </xf>
    <xf numFmtId="0" fontId="13" fillId="22" borderId="0" xfId="0" applyFont="1" applyFill="1" applyAlignment="1">
      <alignment horizontal="center"/>
    </xf>
    <xf numFmtId="3" fontId="49" fillId="22" borderId="0" xfId="0" applyNumberFormat="1" applyFont="1" applyFill="1"/>
    <xf numFmtId="3" fontId="11" fillId="22" borderId="0" xfId="0" applyNumberFormat="1" applyFont="1" applyFill="1" applyAlignment="1">
      <alignment horizontal="right"/>
    </xf>
    <xf numFmtId="2" fontId="11" fillId="22" borderId="0" xfId="0" applyNumberFormat="1" applyFont="1" applyFill="1"/>
    <xf numFmtId="49" fontId="53" fillId="0" borderId="0" xfId="0" applyNumberFormat="1" applyFont="1" applyAlignment="1">
      <alignment horizontal="center" vertical="center"/>
    </xf>
    <xf numFmtId="3" fontId="47" fillId="22" borderId="0" xfId="0" applyNumberFormat="1" applyFont="1" applyFill="1" applyAlignment="1">
      <alignment horizontal="right"/>
    </xf>
    <xf numFmtId="164" fontId="47" fillId="22" borderId="0" xfId="0" applyNumberFormat="1" applyFont="1" applyFill="1"/>
    <xf numFmtId="3" fontId="49" fillId="22" borderId="0" xfId="0" applyNumberFormat="1" applyFont="1" applyFill="1" applyAlignment="1">
      <alignment horizontal="right"/>
    </xf>
    <xf numFmtId="3" fontId="13" fillId="0" borderId="0" xfId="0" applyNumberFormat="1" applyFont="1" applyAlignment="1">
      <alignment horizontal="right"/>
    </xf>
    <xf numFmtId="2" fontId="50" fillId="0" borderId="0" xfId="0" applyNumberFormat="1" applyFont="1"/>
    <xf numFmtId="9" fontId="11" fillId="0" borderId="0" xfId="0" applyNumberFormat="1" applyFont="1" applyAlignment="1">
      <alignment vertical="center"/>
    </xf>
    <xf numFmtId="3" fontId="11" fillId="0" borderId="0" xfId="0" applyNumberFormat="1" applyFont="1" applyAlignment="1">
      <alignment horizontal="right" vertical="center"/>
    </xf>
    <xf numFmtId="0" fontId="13" fillId="24" borderId="0" xfId="0" applyFont="1" applyFill="1" applyAlignment="1">
      <alignment wrapText="1"/>
    </xf>
    <xf numFmtId="164" fontId="13" fillId="0" borderId="0" xfId="0" applyNumberFormat="1" applyFont="1"/>
    <xf numFmtId="0" fontId="13" fillId="17" borderId="0" xfId="0" applyFont="1" applyFill="1">
      <extLst>
        <ext xmlns:xfpb="http://schemas.microsoft.com/office/spreadsheetml/2022/featurepropertybag" uri="{C7286773-470A-42A8-94C5-96B5CB345126}">
          <xfpb:xfComplement i="0"/>
        </ext>
      </extLst>
    </xf>
    <xf numFmtId="0" fontId="13" fillId="17" borderId="0" xfId="0" applyFont="1" applyFill="1"/>
    <xf numFmtId="0" fontId="11" fillId="17" borderId="0" xfId="0" applyFont="1" applyFill="1" applyAlignment="1">
      <alignment horizontal="center" vertical="center"/>
    </xf>
    <xf numFmtId="9" fontId="11" fillId="17" borderId="0" xfId="2" applyFont="1" applyFill="1" applyAlignment="1">
      <alignment vertical="center"/>
    </xf>
    <xf numFmtId="0" fontId="14" fillId="22" borderId="0" xfId="0" applyFont="1" applyFill="1"/>
    <xf numFmtId="3" fontId="53" fillId="0" borderId="0" xfId="0" applyNumberFormat="1" applyFont="1" applyAlignment="1">
      <alignment horizontal="center" vertical="center"/>
    </xf>
    <xf numFmtId="0" fontId="13" fillId="22" borderId="0" xfId="0" applyFont="1" applyFill="1" applyAlignment="1">
      <alignment wrapText="1"/>
    </xf>
    <xf numFmtId="0" fontId="7" fillId="22" borderId="0" xfId="1" applyFill="1"/>
    <xf numFmtId="49" fontId="13" fillId="22" borderId="0" xfId="0" applyNumberFormat="1" applyFont="1" applyFill="1" applyAlignment="1">
      <alignment horizontal="center" vertical="center"/>
    </xf>
    <xf numFmtId="3" fontId="53" fillId="22" borderId="0" xfId="0" applyNumberFormat="1" applyFont="1" applyFill="1" applyAlignment="1">
      <alignment horizontal="center" vertical="center"/>
    </xf>
    <xf numFmtId="2" fontId="13" fillId="22" borderId="0" xfId="0" applyNumberFormat="1" applyFont="1" applyFill="1"/>
    <xf numFmtId="0" fontId="47" fillId="22" borderId="0" xfId="0" applyFont="1" applyFill="1"/>
    <xf numFmtId="3" fontId="13" fillId="22" borderId="0" xfId="0" applyNumberFormat="1" applyFont="1" applyFill="1" applyAlignment="1">
      <alignment horizontal="right"/>
    </xf>
    <xf numFmtId="0" fontId="30" fillId="0" borderId="0" xfId="0" applyFont="1" applyAlignment="1">
      <alignment horizontal="center" vertical="center"/>
    </xf>
    <xf numFmtId="0" fontId="55" fillId="22" borderId="0" xfId="0" applyFont="1" applyFill="1" applyAlignment="1">
      <alignment horizontal="center" vertical="center"/>
    </xf>
    <xf numFmtId="0" fontId="0" fillId="22" borderId="0" xfId="0" applyFill="1" applyAlignment="1">
      <alignment horizontal="center"/>
    </xf>
    <xf numFmtId="0" fontId="41" fillId="22" borderId="0" xfId="0" applyFont="1" applyFill="1"/>
    <xf numFmtId="1" fontId="0" fillId="22" borderId="0" xfId="0" applyNumberFormat="1" applyFill="1"/>
    <xf numFmtId="1" fontId="30" fillId="0" borderId="0" xfId="0" applyNumberFormat="1" applyFont="1"/>
    <xf numFmtId="0" fontId="27" fillId="0" borderId="0" xfId="0" applyFont="1"/>
    <xf numFmtId="0" fontId="53" fillId="0" borderId="0" xfId="0" applyFont="1"/>
    <xf numFmtId="0" fontId="53" fillId="0" borderId="0" xfId="0" applyFont="1" applyAlignment="1">
      <alignment wrapText="1"/>
    </xf>
    <xf numFmtId="0" fontId="65" fillId="27" borderId="0" xfId="0" applyFont="1" applyFill="1"/>
    <xf numFmtId="0" fontId="66" fillId="27" borderId="0" xfId="0" applyFont="1" applyFill="1"/>
    <xf numFmtId="0" fontId="16" fillId="27" borderId="0" xfId="0" applyFont="1" applyFill="1"/>
    <xf numFmtId="0" fontId="16" fillId="27" borderId="0" xfId="0" applyFont="1" applyFill="1" applyAlignment="1">
      <alignment wrapText="1"/>
    </xf>
    <xf numFmtId="0" fontId="11" fillId="27" borderId="0" xfId="0" applyFont="1" applyFill="1"/>
    <xf numFmtId="0" fontId="17" fillId="27" borderId="0" xfId="0" applyFont="1" applyFill="1"/>
    <xf numFmtId="0" fontId="11" fillId="28" borderId="1" xfId="0" applyFont="1" applyFill="1" applyBorder="1" applyAlignment="1">
      <alignment wrapText="1"/>
    </xf>
    <xf numFmtId="0" fontId="11" fillId="28" borderId="2" xfId="0" applyFont="1" applyFill="1" applyBorder="1" applyAlignment="1">
      <alignment wrapText="1"/>
    </xf>
    <xf numFmtId="0" fontId="11" fillId="28" borderId="3" xfId="0" applyFont="1" applyFill="1" applyBorder="1" applyAlignment="1">
      <alignment wrapText="1"/>
    </xf>
    <xf numFmtId="0" fontId="11" fillId="28" borderId="4" xfId="0" applyFont="1" applyFill="1" applyBorder="1" applyAlignment="1">
      <alignment wrapText="1"/>
    </xf>
    <xf numFmtId="0" fontId="11" fillId="29" borderId="7" xfId="0" applyFont="1" applyFill="1" applyBorder="1"/>
    <xf numFmtId="0" fontId="11" fillId="29" borderId="8" xfId="0" applyFont="1" applyFill="1" applyBorder="1"/>
    <xf numFmtId="0" fontId="68" fillId="29" borderId="8" xfId="0" applyFont="1" applyFill="1" applyBorder="1"/>
    <xf numFmtId="0" fontId="27" fillId="29" borderId="8" xfId="0" applyFont="1" applyFill="1" applyBorder="1"/>
    <xf numFmtId="0" fontId="11" fillId="29" borderId="8" xfId="0" applyFont="1" applyFill="1" applyBorder="1" applyAlignment="1">
      <alignment wrapText="1"/>
    </xf>
    <xf numFmtId="0" fontId="11" fillId="29" borderId="5" xfId="0" applyFont="1" applyFill="1" applyBorder="1"/>
    <xf numFmtId="0" fontId="14" fillId="29" borderId="8" xfId="0" applyFont="1" applyFill="1" applyBorder="1"/>
    <xf numFmtId="0" fontId="68" fillId="29" borderId="8" xfId="0" applyFont="1" applyFill="1" applyBorder="1" applyAlignment="1">
      <alignment wrapText="1"/>
    </xf>
    <xf numFmtId="0" fontId="27" fillId="29" borderId="8" xfId="0" applyFont="1" applyFill="1" applyBorder="1" applyAlignment="1">
      <alignment wrapText="1"/>
    </xf>
    <xf numFmtId="0" fontId="64" fillId="29" borderId="8" xfId="1" applyFont="1" applyFill="1" applyBorder="1" applyAlignment="1"/>
    <xf numFmtId="0" fontId="11" fillId="29" borderId="9" xfId="0" applyFont="1" applyFill="1" applyBorder="1"/>
    <xf numFmtId="0" fontId="68" fillId="0" borderId="0" xfId="0" applyFont="1"/>
    <xf numFmtId="0" fontId="11" fillId="29" borderId="10" xfId="0" applyFont="1" applyFill="1" applyBorder="1" applyAlignment="1">
      <alignment wrapText="1"/>
    </xf>
    <xf numFmtId="0" fontId="11" fillId="29" borderId="10" xfId="0" applyFont="1" applyFill="1" applyBorder="1"/>
    <xf numFmtId="0" fontId="11" fillId="29" borderId="11" xfId="0" applyFont="1" applyFill="1" applyBorder="1"/>
    <xf numFmtId="0" fontId="11" fillId="29" borderId="6" xfId="0" applyFont="1" applyFill="1" applyBorder="1"/>
    <xf numFmtId="0" fontId="11" fillId="29" borderId="4" xfId="0" applyFont="1" applyFill="1" applyBorder="1"/>
    <xf numFmtId="0" fontId="11" fillId="29" borderId="12" xfId="0" applyFont="1" applyFill="1" applyBorder="1"/>
    <xf numFmtId="0" fontId="11" fillId="29" borderId="12" xfId="0" applyFont="1" applyFill="1" applyBorder="1" applyAlignment="1">
      <alignment wrapText="1"/>
    </xf>
    <xf numFmtId="0" fontId="11" fillId="29" borderId="3" xfId="0" applyFont="1" applyFill="1" applyBorder="1"/>
    <xf numFmtId="0" fontId="22" fillId="29" borderId="8" xfId="0" applyFont="1" applyFill="1" applyBorder="1" applyAlignment="1">
      <alignment wrapText="1"/>
    </xf>
    <xf numFmtId="0" fontId="22" fillId="29" borderId="7" xfId="0" applyFont="1" applyFill="1" applyBorder="1" applyAlignment="1">
      <alignment wrapText="1"/>
    </xf>
    <xf numFmtId="0" fontId="67" fillId="0" borderId="8" xfId="0" applyFont="1" applyBorder="1" applyAlignment="1">
      <alignment wrapText="1"/>
    </xf>
    <xf numFmtId="0" fontId="22" fillId="0" borderId="7" xfId="0" applyFont="1" applyBorder="1"/>
    <xf numFmtId="0" fontId="22" fillId="0" borderId="7" xfId="0" applyFont="1" applyBorder="1" applyAlignment="1">
      <alignment wrapText="1"/>
    </xf>
    <xf numFmtId="0" fontId="22" fillId="0" borderId="13" xfId="0" applyFont="1" applyBorder="1" applyAlignment="1">
      <alignment wrapText="1"/>
    </xf>
    <xf numFmtId="0" fontId="69" fillId="30" borderId="7" xfId="0" applyFont="1" applyFill="1" applyBorder="1"/>
    <xf numFmtId="0" fontId="69" fillId="30" borderId="7" xfId="0" applyFont="1" applyFill="1" applyBorder="1" applyAlignment="1">
      <alignment wrapText="1"/>
    </xf>
    <xf numFmtId="0" fontId="11" fillId="28" borderId="0" xfId="0" applyFont="1" applyFill="1" applyAlignment="1">
      <alignment wrapText="1"/>
    </xf>
    <xf numFmtId="0" fontId="11" fillId="27" borderId="0" xfId="0" applyFont="1" applyFill="1" applyAlignment="1">
      <alignment horizontal="left"/>
    </xf>
    <xf numFmtId="0" fontId="11" fillId="28" borderId="1" xfId="0" applyFont="1" applyFill="1" applyBorder="1" applyAlignment="1">
      <alignment horizontal="left" wrapText="1"/>
    </xf>
    <xf numFmtId="0" fontId="22" fillId="0" borderId="7" xfId="0" applyFont="1" applyBorder="1" applyAlignment="1">
      <alignment horizontal="left" wrapText="1"/>
    </xf>
    <xf numFmtId="0" fontId="11" fillId="29" borderId="8" xfId="0" applyFont="1" applyFill="1" applyBorder="1" applyAlignment="1">
      <alignment horizontal="left"/>
    </xf>
    <xf numFmtId="0" fontId="0" fillId="30" borderId="0" xfId="0" applyFill="1"/>
    <xf numFmtId="0" fontId="70" fillId="0" borderId="0" xfId="0" applyFont="1"/>
    <xf numFmtId="0" fontId="11" fillId="29" borderId="0" xfId="0" applyFont="1" applyFill="1" applyAlignment="1">
      <alignment wrapText="1"/>
    </xf>
    <xf numFmtId="0" fontId="11" fillId="29" borderId="14" xfId="0" applyFont="1" applyFill="1" applyBorder="1"/>
    <xf numFmtId="0" fontId="11" fillId="29" borderId="15" xfId="0" applyFont="1" applyFill="1" applyBorder="1"/>
    <xf numFmtId="0" fontId="11" fillId="29" borderId="11" xfId="0" applyFont="1" applyFill="1" applyBorder="1" applyAlignment="1">
      <alignment horizontal="left" wrapText="1"/>
    </xf>
    <xf numFmtId="0" fontId="11" fillId="29" borderId="6" xfId="0" applyFont="1" applyFill="1" applyBorder="1" applyAlignment="1">
      <alignment horizontal="left"/>
    </xf>
    <xf numFmtId="0" fontId="11" fillId="29" borderId="4" xfId="0" applyFont="1" applyFill="1" applyBorder="1" applyAlignment="1">
      <alignment horizontal="left"/>
    </xf>
    <xf numFmtId="0" fontId="11" fillId="0" borderId="16" xfId="0" applyFont="1" applyBorder="1"/>
    <xf numFmtId="0" fontId="11" fillId="0" borderId="17" xfId="0" applyFont="1" applyBorder="1"/>
    <xf numFmtId="0" fontId="11" fillId="0" borderId="18" xfId="0" applyFont="1" applyBorder="1"/>
    <xf numFmtId="0" fontId="11" fillId="0" borderId="19" xfId="0" applyFont="1" applyBorder="1"/>
    <xf numFmtId="0" fontId="11" fillId="29" borderId="18" xfId="0" applyFont="1" applyFill="1" applyBorder="1" applyAlignment="1">
      <alignment wrapText="1"/>
    </xf>
    <xf numFmtId="0" fontId="68" fillId="29" borderId="15" xfId="0" applyFont="1" applyFill="1" applyBorder="1"/>
    <xf numFmtId="0" fontId="11" fillId="29" borderId="19" xfId="0" applyFont="1" applyFill="1" applyBorder="1" applyAlignment="1">
      <alignment wrapText="1"/>
    </xf>
    <xf numFmtId="0" fontId="0" fillId="0" borderId="17" xfId="0" applyBorder="1"/>
    <xf numFmtId="0" fontId="11" fillId="29" borderId="17" xfId="0" applyFont="1" applyFill="1" applyBorder="1" applyAlignment="1">
      <alignment wrapText="1"/>
    </xf>
    <xf numFmtId="0" fontId="11" fillId="29" borderId="16" xfId="0" applyFont="1" applyFill="1" applyBorder="1" applyAlignment="1">
      <alignment wrapText="1"/>
    </xf>
    <xf numFmtId="0" fontId="71" fillId="29" borderId="11" xfId="0" applyFont="1" applyFill="1" applyBorder="1" applyAlignment="1">
      <alignment wrapText="1"/>
    </xf>
    <xf numFmtId="0" fontId="11" fillId="22" borderId="8" xfId="0" applyFont="1" applyFill="1" applyBorder="1"/>
    <xf numFmtId="0" fontId="68" fillId="22" borderId="8" xfId="0" applyFont="1" applyFill="1" applyBorder="1"/>
    <xf numFmtId="0" fontId="27" fillId="22" borderId="8" xfId="0" applyFont="1" applyFill="1" applyBorder="1"/>
    <xf numFmtId="0" fontId="11" fillId="22" borderId="8" xfId="0" applyFont="1" applyFill="1" applyBorder="1" applyAlignment="1">
      <alignment wrapText="1"/>
    </xf>
    <xf numFmtId="0" fontId="11" fillId="22" borderId="8" xfId="0" applyFont="1" applyFill="1" applyBorder="1" applyAlignment="1">
      <alignment horizontal="left"/>
    </xf>
    <xf numFmtId="0" fontId="11" fillId="22" borderId="12" xfId="0" applyFont="1" applyFill="1" applyBorder="1"/>
    <xf numFmtId="0" fontId="14" fillId="22" borderId="8" xfId="0" applyFont="1" applyFill="1" applyBorder="1"/>
    <xf numFmtId="0" fontId="11" fillId="22" borderId="11" xfId="0" applyFont="1" applyFill="1" applyBorder="1" applyAlignment="1">
      <alignment wrapText="1"/>
    </xf>
    <xf numFmtId="0" fontId="68" fillId="22" borderId="15" xfId="0" applyFont="1" applyFill="1" applyBorder="1"/>
    <xf numFmtId="0" fontId="11" fillId="22" borderId="19" xfId="0" applyFont="1" applyFill="1" applyBorder="1" applyAlignment="1">
      <alignment wrapText="1"/>
    </xf>
    <xf numFmtId="0" fontId="34" fillId="29" borderId="8" xfId="0" applyFont="1" applyFill="1" applyBorder="1" applyAlignment="1">
      <alignment wrapText="1"/>
    </xf>
    <xf numFmtId="0" fontId="34" fillId="29" borderId="8" xfId="0" applyFont="1" applyFill="1" applyBorder="1"/>
    <xf numFmtId="0" fontId="34" fillId="29" borderId="9" xfId="0" applyFont="1" applyFill="1" applyBorder="1"/>
    <xf numFmtId="0" fontId="72" fillId="0" borderId="21" xfId="0" applyFont="1" applyBorder="1"/>
    <xf numFmtId="0" fontId="73" fillId="0" borderId="0" xfId="0" applyFont="1"/>
    <xf numFmtId="0" fontId="73" fillId="31" borderId="0" xfId="0" applyFont="1" applyFill="1"/>
    <xf numFmtId="0" fontId="74" fillId="0" borderId="20" xfId="0" applyFont="1" applyBorder="1"/>
    <xf numFmtId="0" fontId="75" fillId="0" borderId="0" xfId="0" applyFont="1"/>
    <xf numFmtId="0" fontId="75" fillId="31" borderId="0" xfId="0" applyFont="1" applyFill="1"/>
    <xf numFmtId="0" fontId="71" fillId="11" borderId="0" xfId="0" applyFont="1" applyFill="1"/>
    <xf numFmtId="0" fontId="73" fillId="0" borderId="22" xfId="0" applyFont="1" applyBorder="1"/>
    <xf numFmtId="0" fontId="73" fillId="31" borderId="22" xfId="0" applyFont="1" applyFill="1" applyBorder="1"/>
    <xf numFmtId="0" fontId="70" fillId="0" borderId="0" xfId="0" applyFont="1" applyAlignment="1">
      <alignment horizontal="right"/>
    </xf>
    <xf numFmtId="49" fontId="16" fillId="7" borderId="0" xfId="0" applyNumberFormat="1" applyFont="1" applyFill="1"/>
    <xf numFmtId="49" fontId="13" fillId="11" borderId="0" xfId="0" applyNumberFormat="1" applyFont="1" applyFill="1" applyAlignment="1">
      <alignment horizontal="center" vertical="center" wrapText="1"/>
    </xf>
    <xf numFmtId="49" fontId="12" fillId="0" borderId="0" xfId="0" applyNumberFormat="1" applyFont="1" applyAlignment="1">
      <alignment vertical="center" wrapText="1"/>
    </xf>
    <xf numFmtId="166" fontId="57" fillId="0" borderId="0" xfId="0" applyNumberFormat="1" applyFont="1"/>
    <xf numFmtId="166" fontId="57" fillId="31" borderId="0" xfId="0" applyNumberFormat="1" applyFont="1" applyFill="1"/>
    <xf numFmtId="166" fontId="57" fillId="0" borderId="22" xfId="0" applyNumberFormat="1" applyFont="1" applyBorder="1"/>
    <xf numFmtId="166" fontId="57" fillId="31" borderId="22" xfId="0" applyNumberFormat="1" applyFont="1" applyFill="1" applyBorder="1"/>
    <xf numFmtId="0" fontId="69" fillId="0" borderId="20" xfId="0" applyFont="1" applyBorder="1" applyAlignment="1">
      <alignment vertical="center" wrapText="1"/>
    </xf>
    <xf numFmtId="0" fontId="71" fillId="0" borderId="0" xfId="0" applyFont="1"/>
    <xf numFmtId="168" fontId="71" fillId="0" borderId="0" xfId="0" applyNumberFormat="1" applyFont="1"/>
    <xf numFmtId="0" fontId="71" fillId="31" borderId="0" xfId="0" applyFont="1" applyFill="1"/>
    <xf numFmtId="168" fontId="71" fillId="31" borderId="0" xfId="0" applyNumberFormat="1" applyFont="1" applyFill="1"/>
    <xf numFmtId="0" fontId="76" fillId="31" borderId="0" xfId="0" applyFont="1" applyFill="1"/>
    <xf numFmtId="168" fontId="76" fillId="31" borderId="0" xfId="0" applyNumberFormat="1" applyFont="1" applyFill="1"/>
    <xf numFmtId="0" fontId="71" fillId="22" borderId="0" xfId="0" applyFont="1" applyFill="1"/>
    <xf numFmtId="168" fontId="71" fillId="22" borderId="0" xfId="0" applyNumberFormat="1" applyFont="1" applyFill="1"/>
    <xf numFmtId="0" fontId="71" fillId="30" borderId="0" xfId="0" applyFont="1" applyFill="1"/>
    <xf numFmtId="168" fontId="71" fillId="30" borderId="0" xfId="0" applyNumberFormat="1" applyFont="1" applyFill="1"/>
    <xf numFmtId="0" fontId="77" fillId="0" borderId="0" xfId="0" applyFont="1"/>
    <xf numFmtId="0" fontId="44" fillId="30" borderId="0" xfId="0" applyFont="1" applyFill="1"/>
    <xf numFmtId="0" fontId="53" fillId="0" borderId="0" xfId="0" applyFont="1" applyAlignment="1">
      <alignment horizontal="center" vertical="center" wrapText="1"/>
    </xf>
    <xf numFmtId="0" fontId="15" fillId="0" borderId="0" xfId="0" applyFont="1" applyAlignment="1">
      <alignment horizontal="center"/>
    </xf>
    <xf numFmtId="0" fontId="78" fillId="22" borderId="0" xfId="0" applyFont="1" applyFill="1"/>
    <xf numFmtId="0" fontId="15" fillId="22" borderId="0" xfId="0" applyFont="1" applyFill="1"/>
    <xf numFmtId="3" fontId="13" fillId="22" borderId="0" xfId="0" applyNumberFormat="1" applyFont="1" applyFill="1"/>
    <xf numFmtId="49" fontId="11" fillId="22" borderId="0" xfId="0" applyNumberFormat="1" applyFont="1" applyFill="1"/>
    <xf numFmtId="0" fontId="71" fillId="0" borderId="0" xfId="0" applyFont="1" applyAlignment="1">
      <alignment vertical="center" wrapText="1"/>
    </xf>
    <xf numFmtId="0" fontId="13" fillId="0" borderId="0" xfId="0" applyFont="1" applyAlignment="1">
      <alignment horizontal="center" vertical="center" wrapText="1"/>
    </xf>
    <xf numFmtId="0" fontId="16" fillId="25" borderId="0" xfId="0" applyFont="1" applyFill="1" applyAlignment="1">
      <alignment horizontal="left"/>
    </xf>
  </cellXfs>
  <cellStyles count="3">
    <cellStyle name="Hyperlink" xfId="1" xr:uid="{00000000-000B-0000-0000-000008000000}"/>
    <cellStyle name="Normal" xfId="0" builtinId="0"/>
    <cellStyle name="Percent" xfId="2" builtinId="5"/>
  </cellStyles>
  <dxfs count="56">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name val="Aptos"/>
      </font>
      <numFmt numFmtId="0" formatCode="General"/>
      <alignment horizontal="right"/>
    </dxf>
    <dxf>
      <font>
        <name val="Aptos"/>
      </font>
      <numFmt numFmtId="0" formatCode="General"/>
      <alignment horizontal="right"/>
    </dxf>
    <dxf>
      <font>
        <name val="Aptos"/>
      </font>
      <numFmt numFmtId="0" formatCode="General"/>
      <alignment horizontal="right"/>
    </dxf>
    <dxf>
      <font>
        <name val="Aptos"/>
      </font>
      <numFmt numFmtId="0" formatCode="General"/>
      <alignment horizontal="right"/>
    </dxf>
    <dxf>
      <font>
        <name val="Aptos"/>
      </font>
      <numFmt numFmtId="0" formatCode="General"/>
      <alignment horizontal="right"/>
    </dxf>
    <dxf>
      <font>
        <name val="Aptos"/>
      </font>
      <numFmt numFmtId="0" formatCode="General"/>
      <alignment horizontal="right"/>
    </dxf>
    <dxf>
      <font>
        <name val="Aptos"/>
      </font>
      <numFmt numFmtId="0" formatCode="General"/>
      <alignment horizontal="right"/>
    </dxf>
    <dxf>
      <font>
        <name val="Aptos"/>
      </font>
      <numFmt numFmtId="0" formatCode="General"/>
      <alignment horizontal="right"/>
    </dxf>
    <dxf>
      <font>
        <name val="Aptos"/>
      </font>
    </dxf>
    <dxf>
      <font>
        <name val="Aptos"/>
      </font>
    </dxf>
    <dxf>
      <font>
        <name val="Aptos"/>
      </font>
    </dxf>
    <dxf>
      <font>
        <name val="Aptos"/>
      </font>
    </dxf>
    <dxf>
      <font>
        <color theme="2" tint="-0.499984740745262"/>
        <name val="Aptos"/>
      </font>
    </dxf>
    <dxf>
      <font>
        <name val="Aptos"/>
      </font>
    </dxf>
    <dxf>
      <font>
        <name val="Aptos"/>
      </font>
    </dxf>
    <dxf>
      <font>
        <b val="0"/>
        <i val="0"/>
        <strike val="0"/>
        <condense val="0"/>
        <extend val="0"/>
        <outline val="0"/>
        <shadow val="0"/>
        <u val="none"/>
        <vertAlign val="baseline"/>
        <sz val="12"/>
        <color rgb="FF000000"/>
        <name val="Aptos"/>
        <family val="2"/>
        <scheme val="none"/>
      </font>
      <fill>
        <patternFill patternType="solid">
          <fgColor rgb="FF000000"/>
          <bgColor rgb="FFFFFFFF"/>
        </patternFill>
      </fill>
      <alignment horizontal="general" vertical="bottom" textRotation="0" wrapText="0" indent="0" justifyLastLine="0" shrinkToFit="0" readingOrder="0"/>
      <border diagonalUp="0" diagonalDown="0">
        <left style="thin">
          <color rgb="FFD9D9D9"/>
        </left>
        <right/>
        <top style="thin">
          <color rgb="FFD9D9D9"/>
        </top>
        <bottom/>
        <vertical/>
        <horizontal/>
      </border>
    </dxf>
    <dxf>
      <font>
        <b val="0"/>
        <i val="0"/>
        <strike val="0"/>
        <condense val="0"/>
        <extend val="0"/>
        <outline val="0"/>
        <shadow val="0"/>
        <u val="none"/>
        <vertAlign val="baseline"/>
        <sz val="12"/>
        <color rgb="FF000000"/>
        <name val="Aptos"/>
        <family val="2"/>
        <scheme val="none"/>
      </font>
      <fill>
        <patternFill patternType="solid">
          <fgColor rgb="FF000000"/>
          <bgColor rgb="FFFFFFFF"/>
        </patternFill>
      </fill>
      <alignment horizontal="general" vertical="bottom" textRotation="0" wrapText="0" indent="0" justifyLastLine="0" shrinkToFit="0" readingOrder="0"/>
      <border diagonalUp="0" diagonalDown="0">
        <left/>
        <right style="thin">
          <color rgb="FFD9D9D9"/>
        </right>
        <top/>
        <bottom style="thin">
          <color rgb="FFD9D9D9"/>
        </bottom>
        <vertical/>
        <horizontal/>
      </border>
    </dxf>
    <dxf>
      <font>
        <b val="0"/>
        <i val="0"/>
        <strike val="0"/>
        <condense val="0"/>
        <extend val="0"/>
        <outline val="0"/>
        <shadow val="0"/>
        <u val="none"/>
        <vertAlign val="baseline"/>
        <sz val="12"/>
        <color rgb="FF000000"/>
        <name val="Aptos"/>
        <family val="2"/>
        <scheme val="none"/>
      </font>
      <fill>
        <patternFill patternType="solid">
          <fgColor rgb="FF000000"/>
          <bgColor rgb="FFFFFFFF"/>
        </patternFill>
      </fill>
      <alignment horizontal="general" vertical="bottom" textRotation="0" wrapText="0" indent="0" justifyLastLine="0" shrinkToFit="0" readingOrder="0"/>
      <border diagonalUp="0" diagonalDown="0">
        <left style="thin">
          <color rgb="FFD9D9D9"/>
        </left>
        <right style="thin">
          <color rgb="FFD9D9D9"/>
        </right>
        <top/>
        <bottom style="thin">
          <color rgb="FFD9D9D9"/>
        </bottom>
        <vertical/>
        <horizontal/>
      </border>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solid">
          <fgColor rgb="FF000000"/>
          <bgColor rgb="FFFFFFFF"/>
        </patternFill>
      </fill>
      <alignment horizontal="left" vertical="bottom" textRotation="0" wrapText="0" indent="0" justifyLastLine="0" shrinkToFit="0" readingOrder="0"/>
      <border diagonalUp="0" diagonalDown="0">
        <left style="thin">
          <color rgb="FFD9D9D9"/>
        </left>
        <right style="thin">
          <color rgb="FFD9D9D9"/>
        </right>
        <top/>
        <bottom style="thin">
          <color rgb="FFD9D9D9"/>
        </bottom>
        <vertical/>
        <horizontal/>
      </border>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solid">
          <fgColor rgb="FF000000"/>
          <bgColor rgb="FFFFFFFF"/>
        </patternFill>
      </fill>
      <alignment horizontal="general" vertical="bottom" textRotation="0" wrapText="0" indent="0" justifyLastLine="0" shrinkToFit="0" readingOrder="0"/>
      <border diagonalUp="0" diagonalDown="0">
        <left/>
        <right style="thin">
          <color rgb="FFD9D9D9"/>
        </right>
        <top/>
        <bottom style="thin">
          <color rgb="FFD9D9D9"/>
        </bottom>
        <vertical/>
        <horizontal/>
      </border>
    </dxf>
    <dxf>
      <font>
        <b val="0"/>
        <i val="0"/>
        <strike val="0"/>
        <condense val="0"/>
        <extend val="0"/>
        <outline val="0"/>
        <shadow val="0"/>
        <u val="none"/>
        <vertAlign val="baseline"/>
        <sz val="12"/>
        <color rgb="FF000000"/>
        <name val="Aptos"/>
        <family val="2"/>
        <scheme val="none"/>
      </font>
      <fill>
        <patternFill patternType="solid">
          <fgColor rgb="FF000000"/>
          <bgColor rgb="FFFFFFFF"/>
        </patternFill>
      </fill>
      <alignment horizontal="general" vertical="bottom" textRotation="0" wrapText="0" indent="0" justifyLastLine="0" shrinkToFit="0" readingOrder="0"/>
      <border diagonalUp="0" diagonalDown="0">
        <left/>
        <right style="thin">
          <color rgb="FFD9D9D9"/>
        </right>
        <top/>
        <bottom style="thin">
          <color rgb="FFD9D9D9"/>
        </bottom>
        <vertical/>
        <horizontal/>
      </border>
    </dxf>
    <dxf>
      <font>
        <b val="0"/>
        <i val="0"/>
        <strike val="0"/>
        <condense val="0"/>
        <extend val="0"/>
        <outline val="0"/>
        <shadow val="0"/>
        <u val="none"/>
        <vertAlign val="baseline"/>
        <sz val="12"/>
        <color rgb="FF000000"/>
        <name val="Aptos"/>
        <family val="2"/>
        <scheme val="none"/>
      </font>
      <fill>
        <patternFill patternType="solid">
          <fgColor rgb="FF000000"/>
          <bgColor rgb="FFFFFFFF"/>
        </patternFill>
      </fill>
      <alignment horizontal="general" vertical="bottom" textRotation="0" wrapText="0" indent="0" justifyLastLine="0" shrinkToFit="0" readingOrder="0"/>
      <border diagonalUp="0" diagonalDown="0">
        <left style="thin">
          <color rgb="FFD9D9D9"/>
        </left>
        <right style="thin">
          <color rgb="FFD9D9D9"/>
        </right>
        <top/>
        <bottom style="thin">
          <color rgb="FFD9D9D9"/>
        </bottom>
        <vertical/>
        <horizontal/>
      </border>
    </dxf>
    <dxf>
      <font>
        <b val="0"/>
        <i val="0"/>
        <strike val="0"/>
        <condense val="0"/>
        <extend val="0"/>
        <outline val="0"/>
        <shadow val="0"/>
        <u val="none"/>
        <vertAlign val="baseline"/>
        <sz val="12"/>
        <color auto="1"/>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89824E"/>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solid">
          <fgColor rgb="FF000000"/>
          <bgColor rgb="FFFFFFFF"/>
        </patternFill>
      </fill>
      <alignment horizontal="general" vertical="bottom" textRotation="0" wrapText="0" indent="0" justifyLastLine="0" shrinkToFit="0" readingOrder="0"/>
      <border diagonalUp="0" diagonalDown="0">
        <left/>
        <right style="thin">
          <color rgb="FFD9D9D9"/>
        </right>
        <top/>
        <bottom style="thin">
          <color rgb="FFD9D9D9"/>
        </bottom>
        <vertical/>
        <horizontal/>
      </border>
    </dxf>
    <dxf>
      <font>
        <b val="0"/>
        <i val="0"/>
        <strike val="0"/>
        <condense val="0"/>
        <extend val="0"/>
        <outline val="0"/>
        <shadow val="0"/>
        <u val="none"/>
        <vertAlign val="baseline"/>
        <sz val="12"/>
        <color rgb="FF000000"/>
        <name val="Aptos"/>
        <family val="2"/>
        <scheme val="none"/>
      </font>
      <fill>
        <patternFill patternType="solid">
          <fgColor rgb="FF000000"/>
          <bgColor rgb="FFFFFFFF"/>
        </patternFill>
      </fill>
      <alignment horizontal="general" vertical="bottom" textRotation="0" wrapText="0" indent="0" justifyLastLine="0" shrinkToFit="0" readingOrder="0"/>
      <border diagonalUp="0" diagonalDown="0">
        <left/>
        <right style="thin">
          <color rgb="FFD9D9D9"/>
        </right>
        <top style="thin">
          <color rgb="FFD9D9D9"/>
        </top>
        <bottom/>
        <vertical/>
        <horizontal/>
      </border>
    </dxf>
    <dxf>
      <border outline="0">
        <left style="thin">
          <color rgb="FFD9D9D9"/>
        </left>
        <right style="thin">
          <color rgb="FFD9D9D9"/>
        </right>
        <top style="thin">
          <color rgb="FFD9D9D9"/>
        </top>
        <bottom style="thin">
          <color rgb="FFD9D9D9"/>
        </bottom>
      </border>
    </dxf>
    <dxf>
      <border outline="0">
        <bottom style="thin">
          <color rgb="FFD9D9D9"/>
        </bottom>
      </border>
    </dxf>
    <dxf>
      <font>
        <b val="0"/>
        <i val="0"/>
        <strike val="0"/>
        <condense val="0"/>
        <extend val="0"/>
        <outline val="0"/>
        <shadow val="0"/>
        <u val="none"/>
        <vertAlign val="baseline"/>
        <sz val="10"/>
        <color rgb="FF9C5700"/>
        <name val="Segoe UI"/>
        <family val="2"/>
        <scheme val="none"/>
      </font>
      <fill>
        <patternFill patternType="solid">
          <fgColor rgb="FF000000"/>
          <bgColor rgb="FFFFEB9C"/>
        </patternFill>
      </fill>
      <alignment horizontal="general" vertical="bottom" textRotation="0" wrapText="1"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0"/>
        <color rgb="FF000000"/>
        <name val="Arial"/>
        <family val="2"/>
        <scheme val="minor"/>
      </font>
    </dxf>
  </dxfs>
  <tableStyles count="0" defaultTableStyle="TableStyleMedium2" defaultPivotStyle="PivotStyleLight16"/>
  <colors>
    <mruColors>
      <color rgb="FFFF9999"/>
      <color rgb="FF7030A0"/>
      <color rgb="FF99CB38"/>
      <color rgb="FFD9F2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708660</xdr:colOff>
      <xdr:row>24</xdr:row>
      <xdr:rowOff>45720</xdr:rowOff>
    </xdr:from>
    <xdr:to>
      <xdr:col>5</xdr:col>
      <xdr:colOff>510540</xdr:colOff>
      <xdr:row>28</xdr:row>
      <xdr:rowOff>114300</xdr:rowOff>
    </xdr:to>
    <xdr:sp macro="" textlink="">
      <xdr:nvSpPr>
        <xdr:cNvPr id="2" name="TextBox 1">
          <a:extLst>
            <a:ext uri="{FF2B5EF4-FFF2-40B4-BE49-F238E27FC236}">
              <a16:creationId xmlns:a16="http://schemas.microsoft.com/office/drawing/2014/main" id="{8200E47A-52F0-6F96-4757-A17A752553D0}"/>
            </a:ext>
          </a:extLst>
        </xdr:cNvPr>
        <xdr:cNvSpPr txBox="1"/>
      </xdr:nvSpPr>
      <xdr:spPr>
        <a:xfrm>
          <a:off x="708660" y="4236720"/>
          <a:ext cx="6156960" cy="739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This is an 'auto update</a:t>
          </a:r>
          <a:r>
            <a:rPr lang="en-GB" sz="1100" baseline="0"/>
            <a:t> sheet' </a:t>
          </a:r>
          <a:r>
            <a:rPr lang="en-GB" sz="1100"/>
            <a:t>to get the 'unique</a:t>
          </a:r>
          <a:r>
            <a:rPr lang="en-GB" sz="1100" baseline="0"/>
            <a:t> values' in certain columns in certain sheets.</a:t>
          </a:r>
        </a:p>
        <a:p>
          <a:endParaRPr lang="en-GB" sz="1100" baseline="0"/>
        </a:p>
        <a:p>
          <a:r>
            <a:rPr lang="en-GB" sz="1100" baseline="0"/>
            <a:t>Those unique value should be defined in 'Sematic mapping' or other sheets.</a:t>
          </a:r>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362395</xdr:colOff>
      <xdr:row>9</xdr:row>
      <xdr:rowOff>172193</xdr:rowOff>
    </xdr:from>
    <xdr:to>
      <xdr:col>2</xdr:col>
      <xdr:colOff>3912394</xdr:colOff>
      <xdr:row>35</xdr:row>
      <xdr:rowOff>166255</xdr:rowOff>
    </xdr:to>
    <xdr:pic>
      <xdr:nvPicPr>
        <xdr:cNvPr id="2" name="Picture 1">
          <a:extLst>
            <a:ext uri="{FF2B5EF4-FFF2-40B4-BE49-F238E27FC236}">
              <a16:creationId xmlns:a16="http://schemas.microsoft.com/office/drawing/2014/main" id="{4F6954F9-A028-102D-DA37-10BF873A7B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2395" y="1989118"/>
          <a:ext cx="7427293" cy="52429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504825</xdr:colOff>
      <xdr:row>3</xdr:row>
      <xdr:rowOff>752475</xdr:rowOff>
    </xdr:from>
    <xdr:to>
      <xdr:col>16</xdr:col>
      <xdr:colOff>47625</xdr:colOff>
      <xdr:row>202</xdr:row>
      <xdr:rowOff>66675</xdr:rowOff>
    </xdr:to>
    <xdr:sp macro="" textlink="">
      <xdr:nvSpPr>
        <xdr:cNvPr id="4" name="Rechteck 1">
          <a:extLst>
            <a:ext uri="{FF2B5EF4-FFF2-40B4-BE49-F238E27FC236}">
              <a16:creationId xmlns:a16="http://schemas.microsoft.com/office/drawing/2014/main" id="{F9321A44-36B9-051A-2A52-F7213D2A7C13}"/>
            </a:ext>
          </a:extLst>
        </xdr:cNvPr>
        <xdr:cNvSpPr/>
      </xdr:nvSpPr>
      <xdr:spPr>
        <a:xfrm>
          <a:off x="23060025" y="1628775"/>
          <a:ext cx="581025" cy="97174050"/>
        </a:xfrm>
        <a:prstGeom prst="rect">
          <a:avLst/>
        </a:prstGeom>
        <a:solidFill>
          <a:srgbClr val="7030A0">
            <a:alpha val="5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43</xdr:col>
      <xdr:colOff>644077</xdr:colOff>
      <xdr:row>0</xdr:row>
      <xdr:rowOff>27214</xdr:rowOff>
    </xdr:from>
    <xdr:to>
      <xdr:col>44</xdr:col>
      <xdr:colOff>803651</xdr:colOff>
      <xdr:row>194</xdr:row>
      <xdr:rowOff>85044</xdr:rowOff>
    </xdr:to>
    <xdr:sp macro="" textlink="">
      <xdr:nvSpPr>
        <xdr:cNvPr id="3" name="Rechteck 2">
          <a:extLst>
            <a:ext uri="{FF2B5EF4-FFF2-40B4-BE49-F238E27FC236}">
              <a16:creationId xmlns:a16="http://schemas.microsoft.com/office/drawing/2014/main" id="{778C91DA-5202-40DE-B4B4-388EF0AA3167}"/>
            </a:ext>
          </a:extLst>
        </xdr:cNvPr>
        <xdr:cNvSpPr/>
      </xdr:nvSpPr>
      <xdr:spPr>
        <a:xfrm>
          <a:off x="54024898" y="27214"/>
          <a:ext cx="1125682" cy="82857294"/>
        </a:xfrm>
        <a:prstGeom prst="rect">
          <a:avLst/>
        </a:prstGeom>
        <a:solidFill>
          <a:srgbClr val="7030A0">
            <a:alpha val="5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333375</xdr:colOff>
      <xdr:row>2</xdr:row>
      <xdr:rowOff>95250</xdr:rowOff>
    </xdr:from>
    <xdr:ext cx="8963025" cy="4162425"/>
    <xdr:pic>
      <xdr:nvPicPr>
        <xdr:cNvPr id="2" name="image1.png" title="Image">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333375</xdr:colOff>
      <xdr:row>24</xdr:row>
      <xdr:rowOff>85725</xdr:rowOff>
    </xdr:from>
    <xdr:ext cx="8963025" cy="4238625"/>
    <xdr:pic>
      <xdr:nvPicPr>
        <xdr:cNvPr id="3" name="image2.png" title="Image">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hen, Yi-Chung Barton" id="{F42A4AA1-CF5D-4370-8C27-099FC36EFFE3}" userId="Chen, Yi-Chung Barton" providerId="None"/>
  <person displayName="Upadhyay, Arijit Alip" id="{EAEC203A-EFD4-4486-9CD9-C4D0D5771F63}" userId="Upadhyay, Arijit Alip" providerId="None"/>
  <person displayName="Rühlin Viola (ruhl)" id="{28A67B11-6D67-454C-849F-9A4DC916151F}" userId="S::ruhl@zhaw.ch::132ea78e-0346-4ceb-9574-dfa6eb5c3434" providerId="AD"/>
  <person displayName="Bargiacchi  Eleonora" id="{48F2CB48-9D61-4D19-A02F-663817E5C60C}" userId="S::ebargiacchi@ethz.ch::c1504d1c-c2ea-4fc2-9ace-2f6a5f0cb00a" providerId="AD"/>
  <person displayName="Chen, Yi-Chung Barton" id="{5871D021-623A-4706-833E-9CA10720A09F}" userId="S::yi-chung.chen@empa.ch::2124ab24-89a7-44e1-b572-0aa905870b75" providerId="AD"/>
  <person displayName="Upadhyay, Arijit Alip" id="{D685438E-D241-4AEE-8DA2-9DEF913AE02F}" userId="S::arijit.upadhyay@empa.ch::7688cdfc-67cc-4431-90f3-82a8f5b8ce34" providerId="AD"/>
  <person displayName="Rühlin, Viola" id="{4FC9664E-7E9B-4E26-9570-3FE123AE0ECD}" userId="S::ruhl_zhaw.ch#ext#@empach.onmicrosoft.com::6c01cc37-79d7-4bbe-b7a9-42374655d1b1" providerId="AD"/>
  <person displayName="Bargiacchi, Eleonora" id="{18C63832-29B8-4FBB-A318-DBE61CB946C3}" userId="S::ebargiacchi_ethz.ch#ext#@empach.onmicrosoft.com::8cf2a81b-deb3-43ee-bf27-c0b1c948e32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473A9A-1E00-4088-9365-65394F6991D2}" name="Tabelle2" displayName="Tabelle2" ref="A1:F113" totalsRowShown="0" headerRowDxfId="55">
  <autoFilter ref="A1:F113" xr:uid="{15473A9A-1E00-4088-9365-65394F6991D2}"/>
  <tableColumns count="6">
    <tableColumn id="1" xr3:uid="{C9261910-91F8-4E95-A9CB-79041438EFFE}" name="Sheet name"/>
    <tableColumn id="2" xr3:uid="{D739D75D-66FF-444A-B35E-C19A9114C28D}" name="Column header"/>
    <tableColumn id="3" xr3:uid="{40B3312C-9B9C-42E7-BE96-335539B6C800}" name="Values"/>
    <tableColumn id="4" xr3:uid="{BBAAF3E1-7A20-4D54-A046-A82238451E80}" name="Description"/>
    <tableColumn id="5" xr3:uid="{A92C4103-0195-4F5B-B464-B0FA869EF2BE}" name="Ontology IRI"/>
    <tableColumn id="6" xr3:uid="{287D6621-03D9-4443-9303-504AA6D9535E}" name="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E48951-AF98-43C7-8374-CA8E6268F660}" name="Tabelle1" displayName="Tabelle1" ref="A2:I87" totalsRowShown="0" headerRowDxfId="54" dataDxfId="53">
  <autoFilter ref="A2:I87" xr:uid="{78E48951-AF98-43C7-8374-CA8E6268F660}"/>
  <tableColumns count="9">
    <tableColumn id="1" xr3:uid="{5F7C7070-CCFC-4C16-8E31-B64C00A4D0EA}" name="Process ID" dataDxfId="52"/>
    <tableColumn id="2" xr3:uid="{75B3F1BB-8BAD-47F3-951C-ED601E3DB0A6}" name="Process Description" dataDxfId="51"/>
    <tableColumn id="3" xr3:uid="{A3281C9A-3429-42B0-9F61-81326F60816D}" name="Tech Type" dataDxfId="50"/>
    <tableColumn id="4" xr3:uid="{6FAACB4C-5352-4C98-875F-0AB65FC4B6B9}" name="Process Category" dataDxfId="49"/>
    <tableColumn id="5" xr3:uid="{ED8F3CDA-B958-410C-B6C7-03A12DEC9CBE}" name="Primay Feedstock" dataDxfId="48"/>
    <tableColumn id="6" xr3:uid="{35E6A2E3-630A-47A4-AEE3-3FB6524F929B}" name="Feedstocks" dataDxfId="47"/>
    <tableColumn id="7" xr3:uid="{3ABE5D35-DA41-407C-A057-AB5D3F34F303}" name="Products" dataDxfId="46"/>
    <tableColumn id="8" xr3:uid="{0C101D7E-3330-4465-ABCA-D753D3BA0C1D}" name="Reference" dataDxfId="45"/>
    <tableColumn id="9" xr3:uid="{0AA08356-E5E4-485D-A44E-7C0E1495D4E7}" name="Assumption" dataDxfId="4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C4D123-96C9-42F0-954A-618B98DAEB48}" name="Tabelle3" displayName="Tabelle3" ref="A3:M98" totalsRowShown="0" headerRowDxfId="43" headerRowBorderDxfId="42" tableBorderDxfId="41">
  <autoFilter ref="A3:M98" xr:uid="{2EC4D123-96C9-42F0-954A-618B98DAEB48}"/>
  <tableColumns count="13">
    <tableColumn id="1" xr3:uid="{6D377C5D-CD0A-4F7B-99A0-4A284FA3BC71}" name="sheet" dataDxfId="40"/>
    <tableColumn id="2" xr3:uid="{D2C02E59-8BA7-4AA5-B589-0CFC92186217}" name="tech_id" dataDxfId="39"/>
    <tableColumn id="3" xr3:uid="{638AFFF1-FE2E-4565-B41F-78CDCE1B1059}" name="ehubX Tech ID" dataDxfId="38"/>
    <tableColumn id="4" xr3:uid="{57DFFBC2-9385-4EF4-93DD-1DA7D13ADC4A}" name="process_id" dataDxfId="37"/>
    <tableColumn id="5" xr3:uid="{78A3B289-EE76-4246-80DC-99D4D3954CA1}" name="process_type" dataDxfId="36"/>
    <tableColumn id="6" xr3:uid="{5AD166A7-9932-4D10-9C60-97567D58974B}" name="unit_operation" dataDxfId="35"/>
    <tableColumn id="7" xr3:uid="{2DC08482-DEF4-4B67-B0CB-C2B1FD634A08}" name="tech_ontology_IRI" dataDxfId="34"/>
    <tableColumn id="8" xr3:uid="{683F4CA3-722C-4AE9-9EC7-5005E8793C6F}" name="description" dataDxfId="33"/>
    <tableColumn id="9" xr3:uid="{2EFACD09-75E2-42DD-926B-BF6FBD755D95}" name="tech_year" dataDxfId="32"/>
    <tableColumn id="10" xr3:uid="{BD886E1A-DE45-4A70-ADFE-73601908636F}" name="main_sector" dataDxfId="31"/>
    <tableColumn id="11" xr3:uid="{1FEC8D31-1ABB-4C11-8DF0-72B8A1F9923A}" name="main_category" dataDxfId="30"/>
    <tableColumn id="12" xr3:uid="{C7B2FDD4-8058-4BF4-A47B-8A93B73C3CB0}" name="category_spec" dataDxfId="29"/>
    <tableColumn id="13" xr3:uid="{92F7378A-CFF2-421B-891A-1D4389490643}" name="tech_type" dataDxfId="2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748844-83A1-4410-A3E3-A06AE27CA738}" name="Tabelle4" displayName="Tabelle4" ref="A3:M79" totalsRowShown="0" headerRowDxfId="27" dataDxfId="26">
  <autoFilter ref="A3:M79" xr:uid="{6B748844-83A1-4410-A3E3-A06AE27CA738}"/>
  <sortState xmlns:xlrd2="http://schemas.microsoft.com/office/spreadsheetml/2017/richdata2" ref="A4:D72">
    <sortCondition descending="1" ref="C3:C72"/>
  </sortState>
  <tableColumns count="13">
    <tableColumn id="1" xr3:uid="{D70CBA84-FB90-4E4C-87BE-F61E19D35D70}" name="ehubX tech ID" dataDxfId="25"/>
    <tableColumn id="2" xr3:uid="{8BC00E8A-E72C-4114-8931-D77EF6C06EA0}" name="lca_id" dataDxfId="24"/>
    <tableColumn id="3" xr3:uid="{8C9A4D59-B0CA-431B-91DE-E3A6EB9C5241}" name="ref_product" dataDxfId="23"/>
    <tableColumn id="4" xr3:uid="{0AEC9F98-984A-4048-8373-543D328EACA4}" name="lca_unit" dataDxfId="22"/>
    <tableColumn id="5" xr3:uid="{D598306F-1FE5-41C3-BEF3-2E82E64E72FE}" name="Location" dataDxfId="21"/>
    <tableColumn id="6" xr3:uid="{E42A804F-54A3-4372-AD09-6862DE5BF729}" name="SSP2-NDC_2025" dataDxfId="20"/>
    <tableColumn id="7" xr3:uid="{F7BA1CD6-BE27-4472-9BCF-9A85CF7F0326}" name="SSP2-NDC_2030" dataDxfId="19"/>
    <tableColumn id="8" xr3:uid="{CD469756-A497-4613-BE77-C7C6BA84208B}" name="SSP2-NDC_2040" dataDxfId="18"/>
    <tableColumn id="9" xr3:uid="{B955E9BA-FECE-4C2C-AB54-F5B8DF8DE842}" name="SSP2-NDC_2050" dataDxfId="17"/>
    <tableColumn id="10" xr3:uid="{D266D84A-6D1E-427F-84C8-7B8E347FF63E}" name="SSP2-PkBudg1000_2025" dataDxfId="16"/>
    <tableColumn id="11" xr3:uid="{AE234CEA-3995-4607-AE0C-5E226A491A8D}" name="SSP2-PkBudg1000_2030" dataDxfId="15"/>
    <tableColumn id="12" xr3:uid="{61918FDF-BEBA-4E66-AEF9-FFFF78A85153}" name="SSP2-PkBudg1000_2040" dataDxfId="14"/>
    <tableColumn id="13" xr3:uid="{8566FAC0-C520-4175-8405-C8CA9D3799E4}" name="SSP2-PkBudg1000_2050" dataDxfId="13"/>
  </tableColumns>
  <tableStyleInfo showFirstColumn="0" showLastColumn="0" showRowStripes="1" showColumnStripes="0"/>
</table>
</file>

<file path=xl/theme/theme1.xml><?xml version="1.0" encoding="utf-8"?>
<a:theme xmlns:a="http://schemas.openxmlformats.org/drawingml/2006/main" name="Sheets">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5-04-08T13:32:07.79" personId="{F42A4AA1-CF5D-4370-8C27-099FC36EFFE3}" id="{1F38614A-4004-4617-9898-997C97315D67}">
    <text>The rule of naming the carrier is better to be transparent, e.g. Wood is the main category, and WoodCH and WoodEu is the subclass of the carrier</text>
  </threadedComment>
  <threadedComment ref="A15" dT="2026-01-23T15:32:11.44" personId="{F42A4AA1-CF5D-4370-8C27-099FC36EFFE3}" id="{DC51A34B-B40F-468A-BC55-18440A9B8898}">
    <text>Need to align the name, ‘Ch4’ or ‘CH4’!?</text>
  </threadedComment>
</ThreadedComments>
</file>

<file path=xl/threadedComments/threadedComment2.xml><?xml version="1.0" encoding="utf-8"?>
<ThreadedComments xmlns="http://schemas.microsoft.com/office/spreadsheetml/2018/threadedcomments" xmlns:x="http://schemas.openxmlformats.org/spreadsheetml/2006/main">
  <threadedComment ref="B59" dT="2025-07-17T08:33:03.18" personId="{48F2CB48-9D61-4D19-A02F-663817E5C60C}" id="{697F8D57-050E-4E2B-B60A-2A2C4A163627}">
    <text>Why does the benchmark change with the year? What about PEM electrolysis?</text>
  </threadedComment>
</ThreadedComments>
</file>

<file path=xl/threadedComments/threadedComment3.xml><?xml version="1.0" encoding="utf-8"?>
<ThreadedComments xmlns="http://schemas.microsoft.com/office/spreadsheetml/2018/threadedcomments" xmlns:x="http://schemas.openxmlformats.org/spreadsheetml/2006/main">
  <threadedComment ref="AQ8" dT="2025-06-06T23:18:09.64" personId="{F42A4AA1-CF5D-4370-8C27-099FC36EFFE3}" id="{AD8430AA-ECAB-499E-A7D3-CB00ACA88AB9}">
    <text>Any value for mono-Si PV? Or bi-facial?</text>
  </threadedComment>
</ThreadedComments>
</file>

<file path=xl/threadedComments/threadedComment4.xml><?xml version="1.0" encoding="utf-8"?>
<ThreadedComments xmlns="http://schemas.microsoft.com/office/spreadsheetml/2018/threadedcomments" xmlns:x="http://schemas.openxmlformats.org/spreadsheetml/2006/main">
  <threadedComment ref="P2" dT="2025-05-23T16:08:11.84" personId="{5871D021-623A-4706-833E-9CA10720A09F}" id="{32751F16-8F54-4A4A-A14D-55F07FA93F88}">
    <text>1. should this be 't/y' (tonne/year)? 2. to make it clear, should we add a column for this?</text>
  </threadedComment>
  <threadedComment ref="AU2" dT="2025-07-18T16:29:46.12" personId="{5871D021-623A-4706-833E-9CA10720A09F}" id="{3296B273-78DF-41F6-808D-D3557F185C8F}">
    <text>is this per year?</text>
  </threadedComment>
  <threadedComment ref="AX2" dT="2025-08-21T15:52:06.97" personId="{D685438E-D241-4AEE-8DA2-9DEF913AE02F}" id="{D13D6520-5038-4B6B-B5C9-C90DB6A9B19D}">
    <text xml:space="preserve">Some values look like they are in kCHF/kWh and not CHF/kWh. Please double check units for all values in this column
</text>
  </threadedComment>
  <threadedComment ref="R3" dT="2025-05-23T15:37:17.28" personId="{5871D021-623A-4706-833E-9CA10720A09F}" id="{2FEA94AF-250D-4B6B-9C46-8B9705FFCBD7}">
    <text>Is this location only related to cost or could be for other parameter?</text>
  </threadedComment>
  <threadedComment ref="AG3" dT="2025-05-07T09:19:17.69" personId="{F42A4AA1-CF5D-4370-8C27-099FC36EFFE3}" id="{6D9A98C0-8255-44F9-A700-FE8F71D4778C}" done="1">
    <text>Change to ‘output’ to align with ‘input’? Both input/output have or not have ‘carrier’</text>
  </threadedComment>
  <threadedComment ref="AH3" dT="2025-05-07T09:19:17.69" personId="{F42A4AA1-CF5D-4370-8C27-099FC36EFFE3}" id="{38B69CDC-1212-4EBD-BDE5-62C5CC91EE67}" done="1">
    <text>Change to ‘output’ to align with ‘input’? Both input/output have or not have ‘carrier’</text>
  </threadedComment>
  <threadedComment ref="R4" dT="2025-05-23T15:37:17.28" personId="{5871D021-623A-4706-833E-9CA10720A09F}" id="{B2196F23-6465-440F-83A8-9ABC1B6A565D}">
    <text>Is this location only related to cost or could be for other parameter?</text>
  </threadedComment>
  <threadedComment ref="AG4" dT="2025-05-07T09:19:17.69" personId="{F42A4AA1-CF5D-4370-8C27-099FC36EFFE3}" id="{DDF5FBCA-A701-4629-8F91-15F138CA6A0E}" done="1">
    <text>Change to ‘output’ to align with ‘input’? Both input/output have or not have ‘carrier’</text>
  </threadedComment>
  <threadedComment ref="AH4" dT="2025-05-07T09:19:17.69" personId="{F42A4AA1-CF5D-4370-8C27-099FC36EFFE3}" id="{B351CA99-91CC-4E05-8D72-639E0CBDD4E9}" done="1">
    <text>Change to ‘output’ to align with ‘input’? Both input/output have or not have ‘carrier’</text>
  </threadedComment>
  <threadedComment ref="AT4" dT="2026-01-23T16:20:18.46" personId="{F42A4AA1-CF5D-4370-8C27-099FC36EFFE3}" id="{347B80AB-4C54-4A4C-961D-60AD0B64A690}">
    <text>Should not have units in the column header</text>
  </threadedComment>
  <threadedComment ref="AU4" dT="2026-01-23T16:20:53.14" personId="{F42A4AA1-CF5D-4370-8C27-099FC36EFFE3}" id="{721B1ADD-C26C-4E8A-9492-DDFCCD8BC079}">
    <text>Should not have unit/currency in the column header</text>
  </threadedComment>
  <threadedComment ref="AW4" dT="2026-01-23T16:21:15.54" personId="{F42A4AA1-CF5D-4370-8C27-099FC36EFFE3}" id="{6D3B4462-3D90-4F32-886C-3BDE65B03B16}">
    <text>Should not have unit in the column header</text>
  </threadedComment>
  <threadedComment ref="AX4" dT="2026-01-23T16:21:38.61" personId="{F42A4AA1-CF5D-4370-8C27-099FC36EFFE3}" id="{57DE5C25-DACC-4CD9-B0C8-6795E871F0C2}">
    <text>Should not have currency in the column header</text>
  </threadedComment>
  <threadedComment ref="F5" dT="2025-12-10T15:23:38.38" personId="{D685438E-D241-4AEE-8DA2-9DEF913AE02F}" id="{2F71DD80-13A8-4C81-A8FB-3971A1F2E0CC}">
    <text>We assume the same tech for WtE, Cement and Wood CHPs</text>
  </threadedComment>
  <threadedComment ref="AE5" dT="2025-12-16T12:02:31.25" personId="{D685438E-D241-4AEE-8DA2-9DEF913AE02F}" id="{7D5FDEAD-A1C9-45BC-9E34-C2EE7BF4C309}">
    <text>Based on UK AECOM 2022 report
Including liquefaction energy in electricity share assuming truck, train transport. If pipelines, this can be removed</text>
  </threadedComment>
  <threadedComment ref="AT5" dT="2026-01-23T16:47:35.05" personId="{F42A4AA1-CF5D-4370-8C27-099FC36EFFE3}" id="{648D349A-0B79-4F87-A177-A14828BB58FE}">
    <text>Do we need the unit here?</text>
  </threadedComment>
  <threadedComment ref="BA5" dT="2025-12-15T16:02:27.77" personId="{D685438E-D241-4AEE-8DA2-9DEF913AE02F}" id="{D32D1A0A-CAA9-4B10-B296-85B26B2CF224}">
    <text xml:space="preserve">Page 30, AECOM report Next generation carbon capture technology: technoeconomic analysis work package 6
</text>
    <extLst>
      <x:ext xmlns:xltc2="http://schemas.microsoft.com/office/spreadsheetml/2020/threadedcomments2" uri="{F7C98A9C-CBB3-438F-8F68-D28B6AF4A901}">
        <xltc2:checksum>523026439</xltc2:checksum>
        <xltc2:hyperlink startIndex="22" length="81" url="https://assets.publishing.service.gov.uk/media/6294923ce90e07039e31b777/aecom-next-gen-carbon-capture-technology-technoeconomic-analysis.pdf"/>
      </x:ext>
    </extLst>
  </threadedComment>
  <threadedComment ref="P11" dT="2025-12-22T14:59:53.02" personId="{D685438E-D241-4AEE-8DA2-9DEF913AE02F}" id="{730990BA-FE20-45BA-9084-629F66BE0F50}">
    <text>50kg/h biochar</text>
  </threadedComment>
  <threadedComment ref="BA15" dT="2025-12-15T16:02:19.96" personId="{D685438E-D241-4AEE-8DA2-9DEF913AE02F}" id="{D457F27C-4E3F-4FB7-92CB-AC6277854B2C}">
    <text xml:space="preserve">Page 30, AECOM report Next generation carbon capture technology: technoeconomic analysis work package 6
</text>
    <extLst>
      <x:ext xmlns:xltc2="http://schemas.microsoft.com/office/spreadsheetml/2020/threadedcomments2" uri="{F7C98A9C-CBB3-438F-8F68-D28B6AF4A901}">
        <xltc2:checksum>158932781</xltc2:checksum>
        <xltc2:hyperlink startIndex="22" length="81" url="https://assets.publishing.service.gov.uk/media/6294923ce90e07039e31b777/aecom-next-gen-carbon-capture-technology-technoeconomic-analysis.pdf"/>
      </x:ext>
    </extLst>
  </threadedComment>
  <threadedComment ref="AK19" dT="2025-12-08T14:04:20.87" personId="{D685438E-D241-4AEE-8DA2-9DEF913AE02F}" id="{84822E8C-CAC6-4B17-9973-C603F326CEB6}">
    <text xml:space="preserve">95% capture rate assumed
</text>
  </threadedComment>
  <threadedComment ref="AX20" dT="2025-11-09T16:08:20.88" personId="{EAEC203A-EFD4-4486-9CD9-C4D0D5771F63}" id="{09CEAEF1-A6FA-4D38-A864-E378FDD78845}">
    <text>Value from VSE 2025</text>
  </threadedComment>
  <threadedComment ref="AE21" dT="2025-12-09T20:20:27.57" personId="{D685438E-D241-4AEE-8DA2-9DEF913AE02F}" id="{81DEA249-0EF9-4CE9-85E1-D32DE76D958B}">
    <text>Given reaction C₆H₁₂O₆ + 12 H₂ → 6 CH₄ + 6 H₂O and LHVs:
H₂ LHV = 33.333 kWh/kg
CH₄ LHV = 13.8944 kWh/kg
dry-biomass (glucose-equivalent) LHV = 3.913889 kWh/kg_DM</text>
  </threadedComment>
  <threadedComment ref="AE22" dT="2025-12-09T20:20:27.57" personId="{D685438E-D241-4AEE-8DA2-9DEF913AE02F}" id="{FC1537BE-BDAB-42AD-8BEA-B95DE29CE2BC}">
    <text>Given reaction C₆H₁₂O₆ + 12 H₂ → 6 CH₄ + 6 H₂O and LHVs:
H₂ LHV = 33.333 kWh/kg
CH₄ LHV = 13.8944 kWh/kg
dry-biomass (glucose-equivalent) LHV = 3.913889 kWh/kg_DM</text>
  </threadedComment>
  <threadedComment ref="AE23" dT="2025-12-09T20:20:27.57" personId="{D685438E-D241-4AEE-8DA2-9DEF913AE02F}" id="{7F22C78F-509E-4C01-980B-55E388CD3940}">
    <text>Given reaction C₆H₁₂O₆ + 12 H₂ → 6 CH₄ + 6 H₂O and LHVs:
H₂ LHV = 33.333 kWh/kg
CH₄ LHV = 13.8944 kWh/kg
dry-biomass (glucose-equivalent) LHV = 3.913889 kWh/kg_DM</text>
  </threadedComment>
  <threadedComment ref="AG35" dT="2025-12-10T08:37:55.40" personId="{D685438E-D241-4AEE-8DA2-9DEF913AE02F}" id="{0891B381-B46D-4D36-B06E-DE6F48995D1E}">
    <text>Stoichiometric reaction considered: CO2 + 4H2 -&gt; CH4 + 2H2O, ΔH = -165 kJ/mol</text>
  </threadedComment>
  <threadedComment ref="AG36" dT="2025-12-10T08:37:55.40" personId="{D685438E-D241-4AEE-8DA2-9DEF913AE02F}" id="{13D69F1B-E2AB-4F83-A34A-2205097FAB47}">
    <text>Stoichiometric reaction considered: CO2 + 4H2 -&gt; CH4 + 2H2O, ΔH = -165 kJ/mol</text>
  </threadedComment>
  <threadedComment ref="AG37" dT="2025-12-10T08:37:55.40" personId="{D685438E-D241-4AEE-8DA2-9DEF913AE02F}" id="{AE352DC5-512C-493D-94A2-7BB91DC7F3FC}">
    <text>Stoichiometric reaction considered: CO2 + 4H2 -&gt; CH4 + 2H2O, ΔH = -165 kJ/mol</text>
  </threadedComment>
  <threadedComment ref="AQ37" dT="2025-10-28T15:37:47.61" personId="{D685438E-D241-4AEE-8DA2-9DEF913AE02F}" id="{D24F90AA-8EED-4256-9A9F-605083B34D8D}">
    <text>Why min unit size increases until 2050? This disincentivizes investment</text>
  </threadedComment>
  <threadedComment ref="G61" dT="2026-01-23T16:46:07.28" personId="{F42A4AA1-CF5D-4370-8C27-099FC36EFFE3}" id="{DE6D7C85-D6C4-4BE0-9409-A7466939DBA4}">
    <text>Change from “Electricity” to “Electrical_Transmission”</text>
  </threadedComment>
  <threadedComment ref="AU61" dT="2026-01-23T16:20:35.18" personId="{F42A4AA1-CF5D-4370-8C27-099FC36EFFE3}" id="{DBD5DDFE-C783-4EFE-AEB3-4F5206A6C357}">
    <text>Is this really open_one_time?</text>
  </threadedComment>
  <threadedComment ref="AK77" dT="2025-12-08T14:49:37.96" personId="{D685438E-D241-4AEE-8DA2-9DEF913AE02F}" id="{E290BA27-991F-4AC5-9620-41706B211A12}">
    <text>Earlier was 0.2 in line with VSE but EGS systems for Switzerland are assumed to be 0.1 in line with expert comments in this table</text>
  </threadedComment>
  <threadedComment ref="AT84" dT="2025-06-18T14:11:34.64" personId="{28A67B11-6D67-454C-849F-9A4DC916151F}" id="{5B3BB1B9-E698-4C1F-9BB8-B31640F41561}">
    <text>32000000$, 25Lt, 8000h/y, 43t/h --&gt; 744$/kg/h (Müller et al., 2025)</text>
  </threadedComment>
  <threadedComment ref="AV84" dT="2025-06-18T14:03:03.85" personId="{28A67B11-6D67-454C-849F-9A4DC916151F}" id="{7528CAC1-8E32-4FE7-8F3A-64F157278994}">
    <text>According to Müller et al., 2025</text>
  </threadedComment>
  <threadedComment ref="M86" dT="2025-07-07T10:29:43.35" personId="{18C63832-29B8-4FBB-A318-DBE61CB946C3}" id="{BAB82FB6-DF22-4472-9CD7-7B3BE3A8C7B9}">
    <text>If the main category of cells L35-37 and L44-46 is "Grid/Hydrogen", this should be "hydrogen/grid"</text>
  </threadedComment>
  <threadedComment ref="AK89" dT="2026-01-09T13:50:15.60" personId="{D685438E-D241-4AEE-8DA2-9DEF913AE02F}" id="{257AB47C-7F5A-4EDD-9C31-2F89FCC29D12}">
    <text>50% heat recovery</text>
  </threadedComment>
  <threadedComment ref="AK90" dT="2026-01-09T13:50:15.60" personId="{D685438E-D241-4AEE-8DA2-9DEF913AE02F}" id="{C910B2EC-9F45-46FC-80B8-C214E84760D2}">
    <text>50% heat recovery</text>
  </threadedComment>
  <threadedComment ref="AK91" dT="2026-01-09T13:50:15.60" personId="{D685438E-D241-4AEE-8DA2-9DEF913AE02F}" id="{7A0867F2-3C45-4C38-AD82-4EEB02572043}">
    <text>50% heat recovery</text>
  </threadedComment>
  <threadedComment ref="AK92" dT="2026-01-09T13:50:15.60" personId="{D685438E-D241-4AEE-8DA2-9DEF913AE02F}" id="{A16CB581-E0A8-42BF-84B3-1A8D44CD7B0A}">
    <text>50% heat recovery</text>
  </threadedComment>
  <threadedComment ref="B93" dT="2025-06-10T12:47:14.66" personId="{4FC9664E-7E9B-4E26-9570-3FE123AE0ECD}" id="{47A73710-8C9E-45AE-8949-C64471754E0C}">
    <text>dont know the exact mass flows here</text>
  </threadedComment>
  <threadedComment ref="AK93" dT="2026-01-09T13:18:53.04" personId="{D685438E-D241-4AEE-8DA2-9DEF913AE02F}" id="{4A1C0605-2CB1-48EB-8298-034A59D0BFB5}">
    <text>50% heat recovery</text>
  </threadedComment>
  <threadedComment ref="AM93" dT="2025-07-18T14:05:31.76" personId="{5871D021-623A-4706-833E-9CA10720A09F}" id="{D5610500-162A-4189-9DEA-55FB8C101B62}">
    <text>output over 1?</text>
  </threadedComment>
  <threadedComment ref="AR93" dT="2025-06-23T08:52:03.84" personId="{28A67B11-6D67-454C-849F-9A4DC916151F}" id="{AB5C310F-9B16-46C6-9206-96072D6ED087}">
    <text>According to Müller et al., 30 years</text>
  </threadedComment>
  <threadedComment ref="AV93" dT="2025-06-23T08:52:47.05" personId="{28A67B11-6D67-454C-849F-9A4DC916151F}" id="{0B2F16EC-4AD6-4319-B760-1229ACF0F314}">
    <text>Müller et al., 2025</text>
  </threadedComment>
  <threadedComment ref="B94" dT="2025-06-10T12:47:14.66" personId="{4FC9664E-7E9B-4E26-9570-3FE123AE0ECD}" id="{301F1F15-6831-4D57-BDE6-8D8AA2794C61}">
    <text>dont know the exact mass flows here</text>
  </threadedComment>
  <threadedComment ref="AK94" dT="2026-01-09T13:18:53.04" personId="{D685438E-D241-4AEE-8DA2-9DEF913AE02F}" id="{7E3D1902-30CF-456D-8E4F-B7969848F823}">
    <text>50% heat recovery</text>
  </threadedComment>
  <threadedComment ref="AM94" dT="2025-07-18T14:05:31.76" personId="{5871D021-623A-4706-833E-9CA10720A09F}" id="{F5F163F0-4EB7-4F6E-ACD3-37EB3CFEC202}">
    <text>output over 1?</text>
  </threadedComment>
  <threadedComment ref="AR94" dT="2025-06-23T08:52:03.84" personId="{28A67B11-6D67-454C-849F-9A4DC916151F}" id="{A9FD2522-1FCD-48AB-BF89-A974B36B85B0}">
    <text>According to Müller et al., 30 years</text>
  </threadedComment>
  <threadedComment ref="AV94" dT="2025-06-23T08:52:47.05" personId="{28A67B11-6D67-454C-849F-9A4DC916151F}" id="{CAA41016-2E76-409E-AABE-4134F74180D8}">
    <text>Müller et al., 2025</text>
  </threadedComment>
  <threadedComment ref="B95" dT="2025-06-10T12:47:14.66" personId="{4FC9664E-7E9B-4E26-9570-3FE123AE0ECD}" id="{EE130D50-97CB-479A-AC20-84A45A82BA6F}">
    <text>dont know the exact mass flows here</text>
  </threadedComment>
  <threadedComment ref="AK95" dT="2026-01-09T13:18:53.04" personId="{D685438E-D241-4AEE-8DA2-9DEF913AE02F}" id="{FEA528E9-4158-4664-ACDB-5522F20D9521}">
    <text>50% heat recovery</text>
  </threadedComment>
  <threadedComment ref="AM95" dT="2025-07-18T14:05:31.76" personId="{5871D021-623A-4706-833E-9CA10720A09F}" id="{2954147D-1BE4-4086-BB5F-5FEA4B12E175}">
    <text>output over 1?</text>
  </threadedComment>
  <threadedComment ref="AR95" dT="2025-06-23T08:52:03.84" personId="{28A67B11-6D67-454C-849F-9A4DC916151F}" id="{9746E0A6-7D0C-462B-B6A0-6DA90C047204}">
    <text>According to Müller et al., 30 years</text>
  </threadedComment>
  <threadedComment ref="AV95" dT="2025-06-23T08:52:47.05" personId="{28A67B11-6D67-454C-849F-9A4DC916151F}" id="{0D7E9732-217C-4F1E-A08F-B9F7C93FA75C}">
    <text>Müller et al., 2025</text>
  </threadedComment>
  <threadedComment ref="B96" dT="2025-06-10T12:47:14.66" personId="{4FC9664E-7E9B-4E26-9570-3FE123AE0ECD}" id="{83F02919-F6B3-4A5A-91BE-3D7FCFA4F3B9}">
    <text>dont know the exact mass flows here</text>
  </threadedComment>
  <threadedComment ref="AK96" dT="2026-01-09T13:18:53.04" personId="{D685438E-D241-4AEE-8DA2-9DEF913AE02F}" id="{28A9ED8D-615E-4B87-AD94-506C795EDCE2}">
    <text>50% heat recovery</text>
  </threadedComment>
  <threadedComment ref="AM96" dT="2025-07-18T14:05:31.76" personId="{5871D021-623A-4706-833E-9CA10720A09F}" id="{D4190C98-9118-4849-B365-694651C622CC}">
    <text>output over 1?</text>
  </threadedComment>
  <threadedComment ref="AR96" dT="2025-06-23T08:52:03.84" personId="{28A67B11-6D67-454C-849F-9A4DC916151F}" id="{F6EFB5EA-A562-4706-966D-79C02147B20A}">
    <text>According to Müller et al., 30 years</text>
  </threadedComment>
  <threadedComment ref="AV96" dT="2025-06-23T08:52:47.05" personId="{28A67B11-6D67-454C-849F-9A4DC916151F}" id="{13E210BB-D68F-46EF-8DF0-4F07036BA163}">
    <text>Müller et al., 2025</text>
  </threadedComment>
  <threadedComment ref="M98" dT="2025-07-07T10:28:22.19" personId="{18C63832-29B8-4FBB-A318-DBE61CB946C3}" id="{49D3497F-E854-49D5-875A-0C9E9068207A}">
    <text>if the main category of L70-L72 cells stays "electrolysis" this should be "fuel cell"</text>
  </threadedComment>
  <threadedComment ref="AT100" dT="2025-07-18T05:16:53.41" personId="{48F2CB48-9D61-4D19-A02F-663817E5C60C}" id="{B493E994-ABA5-4002-85B8-5D9F4A8B6089}">
    <text>Targets 2030 for EU are 1500-4000 euros/kW (source: JRC, see comment)
Why does the CAPEX stay constant over the years?</text>
  </threadedComment>
  <threadedComment ref="AT101" dT="2025-07-18T05:16:53.41" personId="{48F2CB48-9D61-4D19-A02F-663817E5C60C}" id="{6A38BD45-ABFE-4182-B455-55BFCA315F17}">
    <text>Targets 2030 for EU are 1500-4000 euros/kW (source: JRC, see comment)
Why does the CAPEX stay constant over the years?</text>
  </threadedComment>
  <threadedComment ref="N106" dT="2025-05-26T11:08:56.47" personId="{5871D021-623A-4706-833E-9CA10720A09F}" id="{0886A3BF-4191-4012-AB67-4884B415442C}">
    <text>to be checked what's the definition of category specification</text>
  </threadedComment>
  <threadedComment ref="AE106" dT="2025-07-18T14:09:13.12" personId="{5871D021-623A-4706-833E-9CA10720A09F}" id="{340C1639-D5DF-414C-BF64-E89A5781B48D}">
    <text>should environment heat considered as the input as well?</text>
  </threadedComment>
  <threadedComment ref="N107" dT="2025-05-26T11:08:56.47" personId="{5871D021-623A-4706-833E-9CA10720A09F}" id="{35C9F0B7-ED6C-44C4-944F-AAE9ECF8A89C}">
    <text>to be checked what's the definition of category specification</text>
  </threadedComment>
  <threadedComment ref="AE107" dT="2025-07-18T14:09:13.12" personId="{5871D021-623A-4706-833E-9CA10720A09F}" id="{597E42E0-F8DE-46DB-B14A-9705B0F44D72}">
    <text>should environment heat considered as the input as well?</text>
  </threadedComment>
  <threadedComment ref="N108" dT="2025-05-26T11:08:56.47" personId="{5871D021-623A-4706-833E-9CA10720A09F}" id="{8FE0CA0F-332C-4B0D-8DDD-C018E32E8FBD}">
    <text>to be checked what's the definition of category specification</text>
  </threadedComment>
  <threadedComment ref="AE108" dT="2025-07-18T14:09:13.12" personId="{5871D021-623A-4706-833E-9CA10720A09F}" id="{5EF77677-A732-44A8-9BD6-42379F2FC82A}">
    <text>should environment heat considered as the input as well?</text>
  </threadedComment>
  <threadedComment ref="N109" dT="2025-05-26T11:08:56.47" personId="{5871D021-623A-4706-833E-9CA10720A09F}" id="{D3B82DE3-D7D7-4C3F-81C0-92FEA8EEECFF}">
    <text>to be checked what's the definition of category specification</text>
  </threadedComment>
  <threadedComment ref="AE109" dT="2025-07-18T14:09:13.12" personId="{5871D021-623A-4706-833E-9CA10720A09F}" id="{2B2E17C0-570C-4D2B-BABE-163FA554647B}">
    <text>should environment heat considered as the input as well?</text>
  </threadedComment>
  <threadedComment ref="AJ118" dT="2025-10-27T16:03:39.61" personId="{D685438E-D241-4AEE-8DA2-9DEF913AE02F}" id="{CB89E508-2454-44F7-A7DD-88C8A8F63E91}" done="1">
    <text>What does a range mean here?</text>
  </threadedComment>
  <threadedComment ref="AK118" dT="2025-10-27T16:03:39.61" personId="{D685438E-D241-4AEE-8DA2-9DEF913AE02F}" id="{FF6E80F8-5216-453A-856F-6EACED92A204}" done="1">
    <text>What does a range mean here?</text>
  </threadedComment>
  <threadedComment ref="BB145" dT="2025-06-06T23:18:09.64" personId="{F42A4AA1-CF5D-4370-8C27-099FC36EFFE3}" id="{2CCC695D-E06F-4BA8-AA59-24889AFF0842}">
    <text>Any value for mono-Si PV? Or bi-facial?</text>
  </threadedComment>
  <threadedComment ref="AT153" dT="2026-01-09T14:54:46.97" personId="{F42A4AA1-CF5D-4370-8C27-099FC36EFFE3}" id="{B5AC9A6D-49A5-44E2-825B-2F711FC3ECC9}">
    <text>Update the CAPEX and get the values for ehubX (CHF/m2)</text>
  </threadedComment>
  <threadedComment ref="BB156" dT="2025-06-06T23:18:09.64" personId="{F42A4AA1-CF5D-4370-8C27-099FC36EFFE3}" id="{00C2DB72-54D7-43F5-B303-7597B21868D4}">
    <text>Any value for mono-Si PV? Or bi-facial?</text>
  </threadedComment>
  <threadedComment ref="AG158" dT="2025-12-10T09:00:21.09" personId="{D685438E-D241-4AEE-8DA2-9DEF913AE02F}" id="{E4977D20-9F06-49C2-933A-25E127F3FDF1}">
    <text xml:space="preserve">CO + 3H2 -&gt; CH4 + H2O, ΔH = -206 kJ/mol
</text>
  </threadedComment>
  <threadedComment ref="AG159" dT="2025-12-10T09:00:21.09" personId="{D685438E-D241-4AEE-8DA2-9DEF913AE02F}" id="{483AAA33-B9E5-4F9E-A948-04D0C571A5A0}">
    <text xml:space="preserve">CO + 3H2 -&gt; CH4 + H2O, ΔH = -206 kJ/mol
</text>
  </threadedComment>
  <threadedComment ref="AG160" dT="2025-12-10T09:00:21.09" personId="{D685438E-D241-4AEE-8DA2-9DEF913AE02F}" id="{EF8A188C-D611-4BB9-9603-65513BE17DE1}">
    <text xml:space="preserve">CO + 3H2 -&gt; CH4 + H2O, ΔH = -206 kJ/mol
</text>
  </threadedComment>
  <threadedComment ref="F166" dT="2025-12-04T14:49:08.66" personId="{D685438E-D241-4AEE-8DA2-9DEF913AE02F}" id="{CDD04772-B578-4758-8F22-910F0AA3634C}">
    <text xml:space="preserve">Maybe remove _2050 from name?
</text>
  </threadedComment>
  <threadedComment ref="AC183" dT="2025-03-27T10:35:05.24" personId="{5871D021-623A-4706-833E-9CA10720A09F}" id="{BAF91E88-47F2-43AA-B4B6-A3937B50B01F}">
    <text>is this O2 based on energy or mass?</text>
  </threadedComment>
  <threadedComment ref="P192" dT="2025-12-22T14:59:53.02" personId="{D685438E-D241-4AEE-8DA2-9DEF913AE02F}" id="{8193506F-136E-4605-8E87-13411456E790}">
    <text>50kg/h biochar</text>
  </threadedComment>
  <threadedComment ref="P194" dT="2025-12-22T14:59:53.02" personId="{D685438E-D241-4AEE-8DA2-9DEF913AE02F}" id="{F3B0A71E-4171-41EC-8489-7A4AB5669510}">
    <text>50000t/year biodiesel/8000h = 6.25 t/h</text>
  </threadedComment>
  <threadedComment ref="AE200" dT="2026-03-19T08:48:21.82" personId="{D685438E-D241-4AEE-8DA2-9DEF913AE02F}" id="{09BB6E08-0B43-40E2-9B8E-CBDC95C299B0}">
    <text>To be checked again in April</text>
  </threadedComment>
  <threadedComment ref="AK200" dT="2026-03-19T08:48:42.73" personId="{D685438E-D241-4AEE-8DA2-9DEF913AE02F}" id="{9CCA2D43-18FE-4518-9EDC-3B5B92E708DA}">
    <text>To be checked again in April</text>
  </threadedComment>
</ThreadedComments>
</file>

<file path=xl/threadedComments/threadedComment5.xml><?xml version="1.0" encoding="utf-8"?>
<ThreadedComments xmlns="http://schemas.microsoft.com/office/spreadsheetml/2018/threadedcomments" xmlns:x="http://schemas.openxmlformats.org/spreadsheetml/2006/main">
  <threadedComment ref="Z3" dT="2025-05-06T15:24:09.00" personId="{F42A4AA1-CF5D-4370-8C27-099FC36EFFE3}" id="{97F697F5-8ADA-4C9D-BD63-FAA97B6C433E}">
    <text>What is this value refer to? Fraction to the storage capacity?</text>
  </threadedComment>
  <threadedComment ref="AB12" dT="2025-06-09T10:27:18.47" personId="{F42A4AA1-CF5D-4370-8C27-099FC36EFFE3}" id="{C5365DEB-B2A8-4357-9CA6-F89979B47759}">
    <text>The charging and discharging process are modelled seperatedly</text>
  </threadedComment>
  <threadedComment ref="AC12" dT="2025-06-09T10:27:35.67" personId="{F42A4AA1-CF5D-4370-8C27-099FC36EFFE3}" id="{5834AB2A-7BE3-461F-A7C0-5F135950A03C}">
    <text>The charging and discharging process are modelled seperatedly</text>
  </threadedComment>
  <threadedComment ref="AB13" dT="2025-06-09T10:27:32.90" personId="{F42A4AA1-CF5D-4370-8C27-099FC36EFFE3}" id="{C8026AA5-99FB-4C4D-94AD-C7822615DD06}">
    <text>The charging and discharging process are modelled seperatedly</text>
  </threadedComment>
  <threadedComment ref="AC13" dT="2025-06-09T10:27:39.37" personId="{F42A4AA1-CF5D-4370-8C27-099FC36EFFE3}" id="{383B699C-8640-401D-BFD6-09B685A33D46}">
    <text>The charging and discharging process are modelled seperatedly</text>
  </threadedComment>
  <threadedComment ref="E16" dT="2025-07-22T12:53:43.92" personId="{5871D021-623A-4706-833E-9CA10720A09F}" id="{76E64DEF-8602-4E71-A528-7C570EC8ADE2}">
    <text>not sure what is this for, but currently it has the same cost as seasonal heat storage at district level (underestimate the cost?)</text>
  </threadedComment>
  <threadedComment ref="AF17" dT="2025-10-28T12:16:34.80" personId="{D685438E-D241-4AEE-8DA2-9DEF913AE02F}" id="{26FCCB93-4C60-4C6C-B279-DC063E60D8DB}">
    <text>No self-discharge for H2 storage?</text>
  </threadedComment>
  <threadedComment ref="AI17" dT="2025-10-28T12:17:07.55" personId="{D685438E-D241-4AEE-8DA2-9DEF913AE02F}" id="{F7859307-1E94-4B69-B003-95D61E0D8F65}">
    <text xml:space="preserve">No power capacity (CHF/kW) cost for H2 storage tank? </text>
  </threadedComment>
  <threadedComment ref="AF18" dT="2025-10-28T12:17:55.85" personId="{D685438E-D241-4AEE-8DA2-9DEF913AE02F}" id="{CD93A327-747F-4377-B286-A124EBB1D457}">
    <text>No methane loss?</text>
  </threadedComment>
  <threadedComment ref="AM25" dT="2026-01-09T14:35:30.00" personId="{F42A4AA1-CF5D-4370-8C27-099FC36EFFE3}" id="{FA463CA6-6306-49DC-829F-6C9D82D592FE}">
    <text>To check the cost of NH3</text>
  </threadedComment>
</ThreadedComments>
</file>

<file path=xl/threadedComments/threadedComment6.xml><?xml version="1.0" encoding="utf-8"?>
<ThreadedComments xmlns="http://schemas.microsoft.com/office/spreadsheetml/2018/threadedcomments" xmlns:x="http://schemas.openxmlformats.org/spreadsheetml/2006/main">
  <threadedComment ref="F5" dT="2025-06-07T11:45:55.47" personId="{F42A4AA1-CF5D-4370-8C27-099FC36EFFE3}" id="{55FB4607-7BC4-425E-8EE1-6B3CD1102681}">
    <text>What is the unit? %?</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strom.ch/de/energiezukunft-2050/download" TargetMode="External"/><Relationship Id="rId3" Type="http://schemas.openxmlformats.org/officeDocument/2006/relationships/hyperlink" Target="https://data.jrc.ec.europa.eu/dataset/8141a398-41a8-42fa-81a4-5b825a51761b" TargetMode="External"/><Relationship Id="rId7" Type="http://schemas.openxmlformats.org/officeDocument/2006/relationships/hyperlink" Target="https://docs.google.com/presentation/d/1Js4_w0kzhL3zGCj_5YsGCvKfnxXCUHVAVOwmXP_sHO0/edit" TargetMode="External"/><Relationship Id="rId2" Type="http://schemas.openxmlformats.org/officeDocument/2006/relationships/hyperlink" Target="https://ens.dk/en/analyses-and-statistics" TargetMode="External"/><Relationship Id="rId1" Type="http://schemas.openxmlformats.org/officeDocument/2006/relationships/hyperlink" Target="https://www.iea.org/data-and-statistics/data-tools/etp-clean-energy-technology-guide" TargetMode="External"/><Relationship Id="rId6" Type="http://schemas.openxmlformats.org/officeDocument/2006/relationships/hyperlink" Target="https://docs.google.com/presentation/d/1oeQVAHrxMZgUv_lBlpRWjX9dcrnxatpXH_WOpPOPivE/edit?usp=sharing" TargetMode="External"/><Relationship Id="rId5" Type="http://schemas.openxmlformats.org/officeDocument/2006/relationships/hyperlink" Target="../../../../../:f:/r/sites/external-project_reFuelWP3/Freigegebene%20Dokumente/General/Data/TechDB%20BibTex?csf=1&amp;web=1&amp;e=8qe9XO" TargetMode="External"/><Relationship Id="rId10" Type="http://schemas.openxmlformats.org/officeDocument/2006/relationships/hyperlink" Target="https://docs.google.com/spreadsheets/d/1eQCuOR8Kq5_W_c7xZtdGj87lEK-D1_rSEdts_J6jZLs/edit?gid=369202019" TargetMode="External"/><Relationship Id="rId4" Type="http://schemas.openxmlformats.org/officeDocument/2006/relationships/hyperlink" Target="https://sweet-cross.ch/data/energy-tech-parameters/2024-02-27/" TargetMode="External"/><Relationship Id="rId9" Type="http://schemas.openxmlformats.org/officeDocument/2006/relationships/hyperlink" Target="https://www.bfe.admin.ch/bfe/de/home/politik/energieperspektiven-2050-plu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openenergy-platform.org/ontology/oeo/OEO_00000148"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swissgrid.ch/en/home/operation/power-grid/grid-levels.html" TargetMode="External"/><Relationship Id="rId1" Type="http://schemas.openxmlformats.org/officeDocument/2006/relationships/hyperlink" Target="https://www.swissgrid.ch/en/home/operation/power-grid/grid-levels.html"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ourworldindata.org/grapher/world-regions-according-to-the-world-bank" TargetMode="Externa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2.bin"/><Relationship Id="rId1" Type="http://schemas.openxmlformats.org/officeDocument/2006/relationships/hyperlink" Target="http://openenergy-platform.org/ontology/oeo/OEO_00020053"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8" Type="http://schemas.openxmlformats.org/officeDocument/2006/relationships/hyperlink" Target="https://atb.nrel.gov/electricity/2024/utility-scale_battery_storage" TargetMode="External"/><Relationship Id="rId13" Type="http://schemas.openxmlformats.org/officeDocument/2006/relationships/hyperlink" Target="https://doi.org/10.1016/j.apenergy.2016.06.087" TargetMode="External"/><Relationship Id="rId18" Type="http://schemas.openxmlformats.org/officeDocument/2006/relationships/hyperlink" Target="https://doi.org/10.1016/j.isci.2024.109154" TargetMode="External"/><Relationship Id="rId26" Type="http://schemas.openxmlformats.org/officeDocument/2006/relationships/hyperlink" Target="https://www.bfe.admin.ch/bfe/en/home/politik/energieperspektiven-2050-plus.exturl.html/aHR0cHM6Ly9wdWJkYi5iZmUuYWRtaW4uY2gvZGUvcHVibGljYX/Rpb24vZG93bmxvYWQvMTA2MjA=.html" TargetMode="External"/><Relationship Id="rId3" Type="http://schemas.openxmlformats.org/officeDocument/2006/relationships/hyperlink" Target="https://www.strom.ch/de/energiezukunft-2050/download" TargetMode="External"/><Relationship Id="rId21" Type="http://schemas.openxmlformats.org/officeDocument/2006/relationships/hyperlink" Target="https://doi.org/10.3390/su17156704" TargetMode="External"/><Relationship Id="rId7" Type="http://schemas.openxmlformats.org/officeDocument/2006/relationships/hyperlink" Target="https://alpvolt.com/en/news/solar-batteries-in-switzerland" TargetMode="External"/><Relationship Id="rId12" Type="http://schemas.openxmlformats.org/officeDocument/2006/relationships/hyperlink" Target="https://doi.org/10.1016/j.energy.2024.131246" TargetMode="External"/><Relationship Id="rId17" Type="http://schemas.openxmlformats.org/officeDocument/2006/relationships/hyperlink" Target="https://iea.blob.core.windows.net/assets/89c1e382-dc59-46ca-aa47-9f7d41531ab5/GlobalHydrogenReview2024.pdf" TargetMode="External"/><Relationship Id="rId25" Type="http://schemas.openxmlformats.org/officeDocument/2006/relationships/hyperlink" Target="https://doi.org/10.1016/j.jclepro.2025.147167" TargetMode="External"/><Relationship Id="rId2" Type="http://schemas.openxmlformats.org/officeDocument/2006/relationships/hyperlink" Target="https://www.strom.ch/de/energiezukunft-2050/download" TargetMode="External"/><Relationship Id="rId16" Type="http://schemas.openxmlformats.org/officeDocument/2006/relationships/hyperlink" Target="https://doi.org/10.2760/527879" TargetMode="External"/><Relationship Id="rId20" Type="http://schemas.openxmlformats.org/officeDocument/2006/relationships/hyperlink" Target="https://www.ieabioenergy.com/wp-content/uploads/2025/03/IEA-Bioenergy_T33_Bio-H2_Final_v2.pdf" TargetMode="External"/><Relationship Id="rId29" Type="http://schemas.openxmlformats.org/officeDocument/2006/relationships/vmlDrawing" Target="../drawings/vmlDrawing3.vml"/><Relationship Id="rId1" Type="http://schemas.openxmlformats.org/officeDocument/2006/relationships/hyperlink" Target="https://doi.org/10.1016/j.jcat.2018.08.002" TargetMode="External"/><Relationship Id="rId6" Type="http://schemas.openxmlformats.org/officeDocument/2006/relationships/hyperlink" Target="https://doi.org/10.1016/j.apenergy.2025.125856" TargetMode="External"/><Relationship Id="rId11" Type="http://schemas.openxmlformats.org/officeDocument/2006/relationships/hyperlink" Target="https://ens.dk/technologydata" TargetMode="External"/><Relationship Id="rId24" Type="http://schemas.openxmlformats.org/officeDocument/2006/relationships/hyperlink" Target="https://pubs.acs.org/doi/10.1021/acsengineeringau.1c00002" TargetMode="External"/><Relationship Id="rId5" Type="http://schemas.openxmlformats.org/officeDocument/2006/relationships/hyperlink" Target="https://doi.org/10.1016/j.apenergy.2024.124019" TargetMode="External"/><Relationship Id="rId15" Type="http://schemas.openxmlformats.org/officeDocument/2006/relationships/hyperlink" Target="https://dx.doi.org/10.2139/ssrn.5291581" TargetMode="External"/><Relationship Id="rId23" Type="http://schemas.openxmlformats.org/officeDocument/2006/relationships/hyperlink" Target="https://doi.org/10.1016/j.rser.2020.110588" TargetMode="External"/><Relationship Id="rId28" Type="http://schemas.openxmlformats.org/officeDocument/2006/relationships/hyperlink" Target="https://www.ost.ch/fileadmin/dateiliste/3_forschung_dienstleistung/technik/3.7.1_erneuerbare_energien_und_umwelttechnik/iet/power-to-x/06_energie_fuer_gaskomprimierung.pdf" TargetMode="External"/><Relationship Id="rId10" Type="http://schemas.openxmlformats.org/officeDocument/2006/relationships/hyperlink" Target="https://doi.org/10.1016/B978-0-08-102886-5.00015-3" TargetMode="External"/><Relationship Id="rId19" Type="http://schemas.openxmlformats.org/officeDocument/2006/relationships/hyperlink" Target="https://doi.org/10.1016/j.enconman.2024.119213" TargetMode="External"/><Relationship Id="rId4" Type="http://schemas.openxmlformats.org/officeDocument/2006/relationships/hyperlink" Target="https://doi.org/10.1016/j.jcou.2025.103019" TargetMode="External"/><Relationship Id="rId9" Type="http://schemas.openxmlformats.org/officeDocument/2006/relationships/hyperlink" Target="https://doi.org/10.1021/acs.iecr.4c01287" TargetMode="External"/><Relationship Id="rId14" Type="http://schemas.openxmlformats.org/officeDocument/2006/relationships/hyperlink" Target="https://doi.org/10.1016/j.ijhydene.2018.06.121" TargetMode="External"/><Relationship Id="rId22" Type="http://schemas.openxmlformats.org/officeDocument/2006/relationships/hyperlink" Target="https://doi.org/10.1002/cssc.202400865" TargetMode="External"/><Relationship Id="rId27" Type="http://schemas.openxmlformats.org/officeDocument/2006/relationships/hyperlink" Target="https://build-up.ec.europa.eu/sites/default/files/content/2018_06_27_technology_pathways_-_finalreportmain2.pdf" TargetMode="External"/><Relationship Id="rId30"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8" Type="http://schemas.openxmlformats.org/officeDocument/2006/relationships/vmlDrawing" Target="../drawings/vmlDrawing5.vml"/><Relationship Id="rId3" Type="http://schemas.openxmlformats.org/officeDocument/2006/relationships/hyperlink" Target="https://www.irena.org/-/media/Files/IRENA/Agency/Publication/2015/IRENA-ETSAP_Tech_Brief_E06_Hydropower.pdf" TargetMode="External"/><Relationship Id="rId7" Type="http://schemas.openxmlformats.org/officeDocument/2006/relationships/drawing" Target="../drawings/drawing3.xml"/><Relationship Id="rId2" Type="http://schemas.openxmlformats.org/officeDocument/2006/relationships/hyperlink" Target="https://www.irena.org/-/media/Files/IRENA/Agency/Publication/2015/IRENA-ETSAP_Tech_Brief_E06_Hydropower.pdf" TargetMode="External"/><Relationship Id="rId1" Type="http://schemas.openxmlformats.org/officeDocument/2006/relationships/hyperlink" Target="http://openenergy-platform.org/ontology/oeo/OEO_00020053" TargetMode="External"/><Relationship Id="rId6" Type="http://schemas.openxmlformats.org/officeDocument/2006/relationships/printerSettings" Target="../printerSettings/printerSettings3.bin"/><Relationship Id="rId5" Type="http://schemas.openxmlformats.org/officeDocument/2006/relationships/hyperlink" Target="https://www.irena.org/-/media/Files/IRENA/Agency/Publication/2015/IRENA-ETSAP_Tech_Brief_E06_Hydropower.pdf" TargetMode="External"/><Relationship Id="rId10" Type="http://schemas.microsoft.com/office/2017/10/relationships/threadedComment" Target="../threadedComments/threadedComment4.xml"/><Relationship Id="rId4" Type="http://schemas.openxmlformats.org/officeDocument/2006/relationships/hyperlink" Target="https://www.irena.org/-/media/Files/IRENA/Agency/Publication/2015/IRENA-ETSAP_Tech_Brief_E06_Hydropower.pdf" TargetMode="External"/><Relationship Id="rId9" Type="http://schemas.openxmlformats.org/officeDocument/2006/relationships/comments" Target="../comments5.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1" Type="http://schemas.openxmlformats.org/officeDocument/2006/relationships/hyperlink" Target="https://euro-funding.com/en/blog/what-is-the-technology-maturity-scale-trl/" TargetMode="External"/></Relationships>
</file>

<file path=xl/worksheets/_rels/sheet1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9.xml.rels><?xml version="1.0" encoding="UTF-8" standalone="yes"?>
<Relationships xmlns="http://schemas.openxmlformats.org/package/2006/relationships"><Relationship Id="rId3" Type="http://schemas.openxmlformats.org/officeDocument/2006/relationships/hyperlink" Target="https://www.bfe.admin.ch/bfe/de/home/politik/energieperspektiven-2050-plus.html" TargetMode="External"/><Relationship Id="rId7" Type="http://schemas.microsoft.com/office/2017/10/relationships/threadedComment" Target="../threadedComments/threadedComment6.xml"/><Relationship Id="rId2" Type="http://schemas.openxmlformats.org/officeDocument/2006/relationships/hyperlink" Target="https://www.bfe.admin.ch/bfe/de/home/politik/energieperspektiven-2050-plus.html" TargetMode="External"/><Relationship Id="rId1" Type="http://schemas.openxmlformats.org/officeDocument/2006/relationships/hyperlink" Target="https://www.bfe.admin.ch/bfe/de/home/politik/energieperspektiven-2050-plus.html" TargetMode="External"/><Relationship Id="rId6" Type="http://schemas.openxmlformats.org/officeDocument/2006/relationships/comments" Target="../comments8.xml"/><Relationship Id="rId5" Type="http://schemas.openxmlformats.org/officeDocument/2006/relationships/vmlDrawing" Target="../drawings/vmlDrawing8.vml"/><Relationship Id="rId4" Type="http://schemas.openxmlformats.org/officeDocument/2006/relationships/hyperlink" Target="https://www.bfe.admin.ch/bfe/de/home/politik/energieperspektiven-2050-plus.html" TargetMode="External"/></Relationships>
</file>

<file path=xl/worksheets/_rels/sheet2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3CCC0-C7E3-453E-BFC1-4218671B2966}">
  <sheetPr>
    <tabColor theme="7" tint="0.79998168889431442"/>
  </sheetPr>
  <dimension ref="A1:J46"/>
  <sheetViews>
    <sheetView topLeftCell="A34" workbookViewId="0">
      <selection activeCell="A9" sqref="A9"/>
    </sheetView>
  </sheetViews>
  <sheetFormatPr defaultColWidth="8.5546875" defaultRowHeight="15.6"/>
  <cols>
    <col min="1" max="1" width="65.5546875" style="18" customWidth="1"/>
    <col min="2" max="2" width="62" style="47" customWidth="1"/>
    <col min="3" max="3" width="107.44140625" style="18" customWidth="1"/>
    <col min="4" max="16384" width="8.5546875" style="18"/>
  </cols>
  <sheetData>
    <row r="1" spans="1:10" ht="21">
      <c r="A1" s="32" t="s">
        <v>0</v>
      </c>
      <c r="B1" s="52"/>
      <c r="C1" s="46"/>
      <c r="D1" s="46"/>
      <c r="E1" s="46"/>
      <c r="F1" s="46"/>
      <c r="G1" s="46"/>
      <c r="H1" s="46"/>
      <c r="I1" s="46"/>
      <c r="J1" s="46"/>
    </row>
    <row r="3" spans="1:10">
      <c r="A3" s="45" t="s">
        <v>1</v>
      </c>
    </row>
    <row r="4" spans="1:10">
      <c r="A4" s="18" t="s">
        <v>2</v>
      </c>
      <c r="B4" s="47" t="s">
        <v>3</v>
      </c>
    </row>
    <row r="5" spans="1:10">
      <c r="A5" s="18" t="s">
        <v>4</v>
      </c>
      <c r="B5" s="47" t="s">
        <v>5</v>
      </c>
    </row>
    <row r="7" spans="1:10">
      <c r="A7" s="88" t="s">
        <v>6</v>
      </c>
      <c r="B7" s="89" t="s">
        <v>7</v>
      </c>
      <c r="C7" s="88" t="s">
        <v>8</v>
      </c>
    </row>
    <row r="8" spans="1:10" ht="62.4">
      <c r="A8" s="18" t="s">
        <v>9</v>
      </c>
      <c r="B8" s="47" t="s">
        <v>10</v>
      </c>
      <c r="C8" s="48" t="s">
        <v>11</v>
      </c>
    </row>
    <row r="9" spans="1:10">
      <c r="A9" s="18" t="s">
        <v>12</v>
      </c>
      <c r="B9" s="47" t="s">
        <v>13</v>
      </c>
      <c r="C9" s="48" t="s">
        <v>14</v>
      </c>
    </row>
    <row r="10" spans="1:10">
      <c r="A10" s="18" t="s">
        <v>15</v>
      </c>
      <c r="B10" s="47" t="s">
        <v>16</v>
      </c>
      <c r="C10" s="17" t="s">
        <v>17</v>
      </c>
    </row>
    <row r="11" spans="1:10">
      <c r="A11" s="18" t="s">
        <v>18</v>
      </c>
      <c r="B11" s="47" t="s">
        <v>19</v>
      </c>
      <c r="C11" s="17" t="s">
        <v>20</v>
      </c>
    </row>
    <row r="12" spans="1:10" ht="31.2">
      <c r="A12" s="18" t="s">
        <v>21</v>
      </c>
      <c r="B12" s="47" t="s">
        <v>22</v>
      </c>
      <c r="C12" s="17" t="s">
        <v>23</v>
      </c>
    </row>
    <row r="13" spans="1:10" ht="31.2">
      <c r="A13" s="18" t="s">
        <v>24</v>
      </c>
      <c r="B13" s="47" t="s">
        <v>25</v>
      </c>
      <c r="C13" s="17" t="s">
        <v>26</v>
      </c>
    </row>
    <row r="14" spans="1:10">
      <c r="A14" s="18" t="s">
        <v>27</v>
      </c>
      <c r="B14" s="47" t="s">
        <v>28</v>
      </c>
      <c r="C14" s="17" t="s">
        <v>29</v>
      </c>
    </row>
    <row r="15" spans="1:10">
      <c r="A15" s="18" t="s">
        <v>27</v>
      </c>
      <c r="B15" s="18" t="s">
        <v>30</v>
      </c>
      <c r="C15" s="17" t="s">
        <v>31</v>
      </c>
    </row>
    <row r="16" spans="1:10">
      <c r="A16" s="18" t="s">
        <v>32</v>
      </c>
      <c r="B16" s="18" t="s">
        <v>32</v>
      </c>
      <c r="C16" s="17" t="s">
        <v>33</v>
      </c>
    </row>
    <row r="17" spans="1:3">
      <c r="A17" s="18" t="s">
        <v>34</v>
      </c>
      <c r="B17" s="47" t="s">
        <v>35</v>
      </c>
      <c r="C17" s="17" t="s">
        <v>36</v>
      </c>
    </row>
    <row r="18" spans="1:3" ht="31.2">
      <c r="A18" s="18" t="s">
        <v>37</v>
      </c>
      <c r="B18" s="47" t="s">
        <v>38</v>
      </c>
    </row>
    <row r="19" spans="1:3" ht="31.2">
      <c r="B19" s="47" t="s">
        <v>39</v>
      </c>
    </row>
    <row r="20" spans="1:3">
      <c r="A20" s="18" t="s">
        <v>40</v>
      </c>
      <c r="B20" s="47" t="s">
        <v>41</v>
      </c>
      <c r="C20" s="18" t="s">
        <v>42</v>
      </c>
    </row>
    <row r="21" spans="1:3">
      <c r="A21" s="18" t="s">
        <v>43</v>
      </c>
      <c r="B21" s="47" t="s">
        <v>44</v>
      </c>
      <c r="C21" s="17" t="s">
        <v>45</v>
      </c>
    </row>
    <row r="23" spans="1:3">
      <c r="A23" s="90" t="s">
        <v>46</v>
      </c>
      <c r="B23" s="91"/>
      <c r="C23" s="91"/>
    </row>
    <row r="24" spans="1:3">
      <c r="A24" s="47" t="s">
        <v>47</v>
      </c>
    </row>
    <row r="25" spans="1:3">
      <c r="A25" s="47" t="s">
        <v>48</v>
      </c>
      <c r="B25" s="18"/>
    </row>
    <row r="26" spans="1:3">
      <c r="A26" s="47" t="s">
        <v>49</v>
      </c>
      <c r="B26" s="18" t="s">
        <v>50</v>
      </c>
    </row>
    <row r="27" spans="1:3">
      <c r="A27" s="47" t="s">
        <v>51</v>
      </c>
      <c r="B27" s="18" t="s">
        <v>52</v>
      </c>
    </row>
    <row r="28" spans="1:3">
      <c r="A28" s="18" t="s">
        <v>53</v>
      </c>
      <c r="B28" s="47" t="s">
        <v>54</v>
      </c>
    </row>
    <row r="30" spans="1:3">
      <c r="A30" s="92" t="s">
        <v>55</v>
      </c>
      <c r="B30" s="93"/>
      <c r="C30" s="93"/>
    </row>
    <row r="31" spans="1:3">
      <c r="A31" s="18" t="s">
        <v>56</v>
      </c>
      <c r="B31" s="18"/>
    </row>
    <row r="32" spans="1:3">
      <c r="A32" s="18" t="s">
        <v>57</v>
      </c>
      <c r="B32" s="18"/>
    </row>
    <row r="33" spans="1:2">
      <c r="A33" s="18" t="s">
        <v>58</v>
      </c>
    </row>
    <row r="35" spans="1:2">
      <c r="A35" s="84" t="s">
        <v>59</v>
      </c>
    </row>
    <row r="36" spans="1:2" ht="135.6" customHeight="1">
      <c r="A36" s="47" t="s">
        <v>60</v>
      </c>
      <c r="B36" s="83" t="s">
        <v>61</v>
      </c>
    </row>
    <row r="37" spans="1:2">
      <c r="B37" s="18"/>
    </row>
    <row r="38" spans="1:2" ht="31.2">
      <c r="A38" s="18" t="s">
        <v>62</v>
      </c>
      <c r="B38" s="47" t="s">
        <v>63</v>
      </c>
    </row>
    <row r="43" spans="1:2">
      <c r="A43" s="18" t="s">
        <v>64</v>
      </c>
      <c r="B43" s="47" t="s">
        <v>65</v>
      </c>
    </row>
    <row r="44" spans="1:2">
      <c r="B44" s="18" t="s">
        <v>66</v>
      </c>
    </row>
    <row r="45" spans="1:2">
      <c r="B45" s="47" t="s">
        <v>67</v>
      </c>
    </row>
    <row r="46" spans="1:2" ht="31.2">
      <c r="B46" s="47" t="s">
        <v>68</v>
      </c>
    </row>
  </sheetData>
  <conditionalFormatting sqref="A1">
    <cfRule type="iconSet" priority="1">
      <iconSet iconSet="3Flags">
        <cfvo type="percent" val="0"/>
        <cfvo type="percent" val="33"/>
        <cfvo type="percent" val="67"/>
      </iconSet>
    </cfRule>
  </conditionalFormatting>
  <hyperlinks>
    <hyperlink ref="C8" r:id="rId1" display="https://www.iea.org/data-and-statistics/data-tools/etp-clean-energy-technology-guide" xr:uid="{37CEBF50-4CF2-4EBE-A33D-7386AC7F15F6}"/>
    <hyperlink ref="C9" r:id="rId2" xr:uid="{07BFD71E-78BD-421C-8B76-7D49D8303C2F}"/>
    <hyperlink ref="C10" r:id="rId3" xr:uid="{6563AC8D-90C8-4900-9851-16D8B2A2944F}"/>
    <hyperlink ref="C11" r:id="rId4" xr:uid="{0A4EC617-9D35-4280-A7A2-AC34A50CBD34}"/>
    <hyperlink ref="B36" r:id="rId5" xr:uid="{DE5B1D5F-0D96-4DBF-B501-A58F6BD85583}"/>
    <hyperlink ref="C12" r:id="rId6" xr:uid="{121B0078-5777-4AD9-BA7A-54268F62CBC1}"/>
    <hyperlink ref="C13" r:id="rId7" location="slide=id.g24c4e5253f6_0_5" xr:uid="{75B50235-FEEA-4D67-89B6-112EFCB86637}"/>
    <hyperlink ref="C17" r:id="rId8" xr:uid="{14408E2C-4101-4116-A722-F432E52C13C4}"/>
    <hyperlink ref="C15" r:id="rId9" xr:uid="{B15B68BD-9AC8-4037-9072-544774F9F656}"/>
    <hyperlink ref="C21" r:id="rId10" location="gid=369202019" xr:uid="{EC5AD5DD-1F54-4FAB-931E-BB6A0F623FC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010DA-463A-428E-B0C6-D69BCC1674AC}">
  <sheetPr>
    <tabColor theme="7" tint="0.79998168889431442"/>
  </sheetPr>
  <dimension ref="A1:H207"/>
  <sheetViews>
    <sheetView topLeftCell="A127" workbookViewId="0">
      <selection activeCell="C186" sqref="C186"/>
    </sheetView>
  </sheetViews>
  <sheetFormatPr defaultColWidth="8.5546875" defaultRowHeight="12.75" customHeight="1"/>
  <cols>
    <col min="1" max="1" width="11.44140625" bestFit="1" customWidth="1"/>
    <col min="2" max="2" width="42.44140625" customWidth="1"/>
    <col min="3" max="3" width="42" customWidth="1"/>
    <col min="4" max="4" width="27.44140625" bestFit="1" customWidth="1"/>
    <col min="5" max="5" width="96.44140625" bestFit="1" customWidth="1"/>
    <col min="6" max="6" width="15.5546875" bestFit="1" customWidth="1"/>
    <col min="7" max="7" width="51" bestFit="1" customWidth="1"/>
    <col min="8" max="8" width="65.5546875" bestFit="1" customWidth="1"/>
  </cols>
  <sheetData>
    <row r="1" spans="1:8" s="62" customFormat="1" ht="12.75" customHeight="1">
      <c r="A1" s="62" t="s">
        <v>69</v>
      </c>
      <c r="B1" s="62" t="s">
        <v>70</v>
      </c>
      <c r="C1" s="62" t="s">
        <v>71</v>
      </c>
      <c r="D1" s="62" t="s">
        <v>72</v>
      </c>
      <c r="E1" s="62" t="s">
        <v>7</v>
      </c>
      <c r="F1" s="62" t="s">
        <v>73</v>
      </c>
      <c r="G1" s="62" t="s">
        <v>74</v>
      </c>
      <c r="H1" s="62" t="s">
        <v>75</v>
      </c>
    </row>
    <row r="2" spans="1:8" ht="12.75" customHeight="1">
      <c r="A2" t="s">
        <v>76</v>
      </c>
      <c r="B2" t="s">
        <v>77</v>
      </c>
      <c r="C2" t="str" cm="1">
        <f t="array" aca="1" ref="C2:C57" ca="1">TRANSPOSE(OFFSET(ConvTech!F4,0,0,1,56))</f>
        <v>ehubX Tech ID</v>
      </c>
      <c r="D2" t="str" cm="1">
        <f t="array" aca="1" ref="D2:D45" ca="1">TRANSPOSE(OFFSET(ConvTech!F2,0,0,1,44))</f>
        <v>[ehubX Tech ID]</v>
      </c>
      <c r="E2" t="s">
        <v>78</v>
      </c>
      <c r="F2" t="s">
        <v>79</v>
      </c>
    </row>
    <row r="3" spans="1:8" ht="12.75" customHeight="1">
      <c r="C3" t="str">
        <f ca="1"/>
        <v>tech_id</v>
      </c>
      <c r="D3" s="58" t="str">
        <f ca="1"/>
        <v>[Datapaper Tech ID]</v>
      </c>
      <c r="E3" t="s">
        <v>80</v>
      </c>
    </row>
    <row r="4" spans="1:8" ht="12.75" customHeight="1">
      <c r="A4" t="s">
        <v>76</v>
      </c>
      <c r="B4" t="s">
        <v>81</v>
      </c>
      <c r="C4" t="str">
        <f ca="1"/>
        <v>Tech Ontology IRI</v>
      </c>
      <c r="D4" s="135" t="str">
        <f ca="1"/>
        <v>[Ontology IRI]</v>
      </c>
      <c r="E4" s="63" t="s">
        <v>82</v>
      </c>
      <c r="H4" s="58" t="s">
        <v>83</v>
      </c>
    </row>
    <row r="5" spans="1:8" ht="12.75" customHeight="1">
      <c r="A5" t="s">
        <v>76</v>
      </c>
      <c r="B5" t="s">
        <v>84</v>
      </c>
      <c r="C5" t="str">
        <f ca="1"/>
        <v>process_type</v>
      </c>
      <c r="D5" t="str">
        <f ca="1"/>
        <v>[ProcessType]</v>
      </c>
      <c r="E5" s="58" t="s">
        <v>85</v>
      </c>
      <c r="G5" s="58"/>
    </row>
    <row r="6" spans="1:8" ht="12.75" customHeight="1">
      <c r="A6" t="s">
        <v>76</v>
      </c>
      <c r="B6" t="s">
        <v>7</v>
      </c>
      <c r="C6" t="str">
        <f ca="1"/>
        <v>description</v>
      </c>
      <c r="D6" t="str">
        <f ca="1"/>
        <v>[str]</v>
      </c>
      <c r="E6" s="58"/>
      <c r="G6" s="58"/>
    </row>
    <row r="7" spans="1:8" ht="12.75" customHeight="1">
      <c r="A7" t="s">
        <v>76</v>
      </c>
      <c r="B7" t="s">
        <v>86</v>
      </c>
      <c r="C7" t="str">
        <f ca="1"/>
        <v>unit_operation</v>
      </c>
      <c r="D7" s="135" t="str">
        <f ca="1"/>
        <v>[str]</v>
      </c>
      <c r="E7" t="s">
        <v>87</v>
      </c>
      <c r="H7" s="58" t="s">
        <v>88</v>
      </c>
    </row>
    <row r="8" spans="1:8" ht="12.75" customHeight="1">
      <c r="A8" t="s">
        <v>76</v>
      </c>
      <c r="B8" t="s">
        <v>89</v>
      </c>
      <c r="C8" t="str">
        <f ca="1"/>
        <v>main_sector</v>
      </c>
      <c r="D8" s="135" t="str">
        <f ca="1"/>
        <v>[MainSector]</v>
      </c>
      <c r="E8" t="s">
        <v>90</v>
      </c>
    </row>
    <row r="9" spans="1:8" ht="12.75" customHeight="1">
      <c r="A9" t="s">
        <v>76</v>
      </c>
      <c r="B9" t="s">
        <v>91</v>
      </c>
      <c r="C9" t="str">
        <f ca="1"/>
        <v>main_category</v>
      </c>
      <c r="D9" s="135" t="str">
        <f ca="1"/>
        <v>[MainCategory]</v>
      </c>
      <c r="E9" t="s">
        <v>92</v>
      </c>
    </row>
    <row r="10" spans="1:8" ht="12.75" customHeight="1">
      <c r="A10" t="s">
        <v>76</v>
      </c>
      <c r="B10" t="s">
        <v>93</v>
      </c>
      <c r="C10" t="str">
        <f ca="1"/>
        <v>category_spec</v>
      </c>
      <c r="D10" s="135" t="str">
        <f ca="1"/>
        <v>[CategorySpec]</v>
      </c>
      <c r="E10" t="s">
        <v>94</v>
      </c>
      <c r="H10" t="s">
        <v>95</v>
      </c>
    </row>
    <row r="11" spans="1:8" ht="12.75" customHeight="1">
      <c r="A11" t="s">
        <v>76</v>
      </c>
      <c r="B11" t="s">
        <v>96</v>
      </c>
      <c r="C11" t="str">
        <f ca="1"/>
        <v>tech_type</v>
      </c>
      <c r="D11" t="str">
        <f ca="1"/>
        <v>[TechType]</v>
      </c>
      <c r="E11" t="s">
        <v>97</v>
      </c>
      <c r="H11" s="58" t="s">
        <v>98</v>
      </c>
    </row>
    <row r="12" spans="1:8" ht="12.75" customHeight="1">
      <c r="A12" t="s">
        <v>76</v>
      </c>
      <c r="B12" t="s">
        <v>99</v>
      </c>
      <c r="C12" t="str">
        <f ca="1"/>
        <v>reference_unit_size</v>
      </c>
      <c r="D12" t="str">
        <f ca="1"/>
        <v>[MWh/h] or [t/h]</v>
      </c>
      <c r="E12" t="s">
        <v>100</v>
      </c>
      <c r="H12" s="58"/>
    </row>
    <row r="13" spans="1:8" ht="12.75" customHeight="1">
      <c r="A13" t="s">
        <v>76</v>
      </c>
      <c r="B13" t="s">
        <v>101</v>
      </c>
      <c r="C13" t="str">
        <f ca="1"/>
        <v>cost_base_year</v>
      </c>
      <c r="D13" s="135" t="str">
        <f ca="1"/>
        <v>[Year]</v>
      </c>
      <c r="E13" t="s">
        <v>102</v>
      </c>
      <c r="H13" s="58" t="s">
        <v>103</v>
      </c>
    </row>
    <row r="14" spans="1:8" ht="12.75" customHeight="1">
      <c r="A14" t="s">
        <v>76</v>
      </c>
      <c r="B14" t="s">
        <v>104</v>
      </c>
      <c r="C14" t="str">
        <f ca="1"/>
        <v>Cost Base</v>
      </c>
      <c r="D14" s="135" t="str">
        <f ca="1"/>
        <v>[Location]</v>
      </c>
      <c r="E14" t="s">
        <v>105</v>
      </c>
      <c r="H14" s="58" t="s">
        <v>106</v>
      </c>
    </row>
    <row r="15" spans="1:8" ht="12.75" customHeight="1">
      <c r="A15" t="s">
        <v>76</v>
      </c>
      <c r="B15" t="s">
        <v>107</v>
      </c>
      <c r="C15" t="str">
        <f ca="1"/>
        <v>Currency</v>
      </c>
      <c r="D15" t="str">
        <f ca="1"/>
        <v>[Currency]</v>
      </c>
      <c r="E15" t="s">
        <v>108</v>
      </c>
      <c r="H15" s="58" t="s">
        <v>109</v>
      </c>
    </row>
    <row r="16" spans="1:8" ht="12.75" customHeight="1">
      <c r="A16" t="s">
        <v>76</v>
      </c>
      <c r="B16" t="s">
        <v>110</v>
      </c>
      <c r="C16" t="str">
        <f ca="1"/>
        <v>Data Reference Year</v>
      </c>
      <c r="D16" s="135" t="str">
        <f ca="1"/>
        <v>[Year]</v>
      </c>
      <c r="E16" t="s">
        <v>111</v>
      </c>
      <c r="H16" s="58"/>
    </row>
    <row r="17" spans="1:8" ht="12.75" customHeight="1">
      <c r="A17" t="s">
        <v>76</v>
      </c>
      <c r="B17" t="s">
        <v>112</v>
      </c>
      <c r="C17" t="str">
        <f ca="1"/>
        <v>trl_(1-9)</v>
      </c>
      <c r="D17" s="135" t="str">
        <f ca="1"/>
        <v>[TRL 1-9]</v>
      </c>
      <c r="E17" t="s">
        <v>113</v>
      </c>
      <c r="F17" t="s">
        <v>114</v>
      </c>
    </row>
    <row r="18" spans="1:8" ht="12.75" customHeight="1">
      <c r="A18" t="s">
        <v>76</v>
      </c>
      <c r="B18" t="s">
        <v>115</v>
      </c>
      <c r="C18" t="str">
        <f ca="1"/>
        <v>tech_maturity</v>
      </c>
      <c r="D18" s="135" t="str">
        <f ca="1"/>
        <v>[TechMaturity]</v>
      </c>
      <c r="E18" s="63" t="s">
        <v>116</v>
      </c>
      <c r="H18" s="58" t="s">
        <v>117</v>
      </c>
    </row>
    <row r="19" spans="1:8" ht="12.75" customHeight="1">
      <c r="A19" t="s">
        <v>76</v>
      </c>
      <c r="B19" s="63" t="s">
        <v>118</v>
      </c>
      <c r="C19" s="63" t="str">
        <f ca="1"/>
        <v>tech_boundary</v>
      </c>
      <c r="D19" t="str">
        <f ca="1"/>
        <v>[TechBoundary]</v>
      </c>
      <c r="H19" s="58"/>
    </row>
    <row r="20" spans="1:8" ht="12.75" customHeight="1">
      <c r="A20" t="s">
        <v>76</v>
      </c>
      <c r="B20" s="63" t="s">
        <v>119</v>
      </c>
      <c r="C20" s="63" t="str">
        <f ca="1"/>
        <v>Tech Drawing Added?</v>
      </c>
      <c r="D20" t="str">
        <f ca="1"/>
        <v>[boolean]</v>
      </c>
      <c r="E20" s="63" t="s">
        <v>120</v>
      </c>
      <c r="H20" s="58"/>
    </row>
    <row r="21" spans="1:8" ht="12.75" customHeight="1">
      <c r="A21" t="s">
        <v>76</v>
      </c>
      <c r="B21" s="63" t="s">
        <v>121</v>
      </c>
      <c r="C21" s="63" t="str">
        <f ca="1"/>
        <v>overall_efficiency</v>
      </c>
      <c r="D21" t="str">
        <f ca="1"/>
        <v>[0-1]</v>
      </c>
      <c r="E21" s="63" t="s">
        <v>122</v>
      </c>
      <c r="H21" s="58"/>
    </row>
    <row r="22" spans="1:8" ht="12.75" customHeight="1">
      <c r="A22" t="s">
        <v>76</v>
      </c>
      <c r="B22" t="s">
        <v>123</v>
      </c>
      <c r="C22" t="str">
        <f ca="1"/>
        <v>Input, Output for Overall Efficiency</v>
      </c>
      <c r="D22" s="58" t="str">
        <f ca="1"/>
        <v>[Input Carrier, Output Carrier]</v>
      </c>
      <c r="E22" t="s">
        <v>124</v>
      </c>
      <c r="F22" t="s">
        <v>125</v>
      </c>
    </row>
    <row r="23" spans="1:8" ht="12.75" customHeight="1">
      <c r="A23" t="s">
        <v>76</v>
      </c>
      <c r="B23" t="s">
        <v>126</v>
      </c>
      <c r="C23" t="str">
        <f ca="1"/>
        <v>carriers_in</v>
      </c>
      <c r="D23" t="str">
        <f ca="1"/>
        <v>[list of Carriers]</v>
      </c>
      <c r="E23" t="s">
        <v>127</v>
      </c>
    </row>
    <row r="24" spans="1:8" ht="12.75" customHeight="1">
      <c r="A24" t="s">
        <v>76</v>
      </c>
      <c r="B24" t="s">
        <v>128</v>
      </c>
      <c r="C24" t="str">
        <f ca="1"/>
        <v>main_input</v>
      </c>
      <c r="D24" s="58" t="str">
        <f ca="1"/>
        <v>[Carrier]</v>
      </c>
      <c r="E24" t="s">
        <v>129</v>
      </c>
      <c r="F24" t="s">
        <v>125</v>
      </c>
    </row>
    <row r="25" spans="1:8" ht="12.75" customHeight="1">
      <c r="A25" t="s">
        <v>76</v>
      </c>
      <c r="B25" t="s">
        <v>130</v>
      </c>
      <c r="C25" t="str">
        <f ca="1"/>
        <v>Input Shares</v>
      </c>
      <c r="D25" t="str">
        <f ca="1"/>
        <v>[list of floats, comma separated]</v>
      </c>
      <c r="E25" t="s">
        <v>131</v>
      </c>
    </row>
    <row r="26" spans="1:8" ht="12.75" customHeight="1">
      <c r="A26" t="s">
        <v>76</v>
      </c>
      <c r="B26" t="s">
        <v>132</v>
      </c>
      <c r="C26" t="str">
        <f ca="1"/>
        <v>Input Units - Shares</v>
      </c>
      <c r="D26" s="58" t="str">
        <f ca="1"/>
        <v>[list of units in kWh and kg]</v>
      </c>
      <c r="E26" t="s">
        <v>133</v>
      </c>
      <c r="F26" t="s">
        <v>134</v>
      </c>
    </row>
    <row r="27" spans="1:8" ht="12.75" customHeight="1">
      <c r="A27" t="s">
        <v>76</v>
      </c>
      <c r="B27" t="s">
        <v>135</v>
      </c>
      <c r="C27" t="str">
        <f ca="1"/>
        <v>ratios_in</v>
      </c>
      <c r="D27" s="58" t="str">
        <f ca="1"/>
        <v>[list of float, comma separated]</v>
      </c>
      <c r="E27" t="s">
        <v>136</v>
      </c>
      <c r="F27" t="s">
        <v>137</v>
      </c>
    </row>
    <row r="28" spans="1:8" ht="12.75" customHeight="1">
      <c r="A28" t="s">
        <v>76</v>
      </c>
      <c r="B28" t="s">
        <v>138</v>
      </c>
      <c r="C28" t="str">
        <f ca="1"/>
        <v>units_in</v>
      </c>
      <c r="D28" s="58" t="str">
        <f ca="1"/>
        <v>[list of units, comma separated]</v>
      </c>
      <c r="E28" t="s">
        <v>139</v>
      </c>
      <c r="F28" t="s">
        <v>134</v>
      </c>
    </row>
    <row r="29" spans="1:8" ht="12.75" customHeight="1">
      <c r="A29" t="s">
        <v>76</v>
      </c>
      <c r="B29" t="s">
        <v>140</v>
      </c>
      <c r="C29" t="str">
        <f ca="1"/>
        <v>carriers_out</v>
      </c>
      <c r="D29" t="str">
        <f ca="1"/>
        <v>[list of Carriers]</v>
      </c>
      <c r="E29" t="s">
        <v>141</v>
      </c>
    </row>
    <row r="30" spans="1:8" ht="12.75" customHeight="1">
      <c r="A30" t="s">
        <v>76</v>
      </c>
      <c r="B30" t="s">
        <v>142</v>
      </c>
      <c r="C30" t="str">
        <f ca="1"/>
        <v>SwissX_carriers_out</v>
      </c>
      <c r="D30" s="58" t="str">
        <f ca="1"/>
        <v>[list of Carriers]</v>
      </c>
      <c r="E30" s="58" t="s">
        <v>143</v>
      </c>
      <c r="F30" t="s">
        <v>144</v>
      </c>
    </row>
    <row r="31" spans="1:8" ht="12.75" customHeight="1">
      <c r="A31" t="s">
        <v>76</v>
      </c>
      <c r="B31" t="s">
        <v>145</v>
      </c>
      <c r="C31" t="str">
        <f ca="1"/>
        <v>main_out</v>
      </c>
      <c r="D31" s="58" t="str">
        <f ca="1"/>
        <v>[Carrier]</v>
      </c>
      <c r="E31" t="s">
        <v>146</v>
      </c>
      <c r="F31" t="s">
        <v>147</v>
      </c>
    </row>
    <row r="32" spans="1:8" ht="12.75" customHeight="1">
      <c r="A32" t="s">
        <v>76</v>
      </c>
      <c r="B32" t="s">
        <v>148</v>
      </c>
      <c r="C32" t="str">
        <f ca="1"/>
        <v>ratios_out</v>
      </c>
      <c r="D32" s="58" t="str">
        <f ca="1"/>
        <v>[list of float, comma separated]</v>
      </c>
      <c r="E32" t="s">
        <v>149</v>
      </c>
      <c r="F32" t="s">
        <v>150</v>
      </c>
    </row>
    <row r="33" spans="1:8" ht="12.75" customHeight="1">
      <c r="A33" t="s">
        <v>76</v>
      </c>
      <c r="B33" t="s">
        <v>151</v>
      </c>
      <c r="C33" t="str">
        <f ca="1"/>
        <v>SwissX_ratios_out</v>
      </c>
      <c r="D33" s="58" t="str">
        <f ca="1"/>
        <v>[list of float, comma separated]</v>
      </c>
      <c r="E33" t="s">
        <v>152</v>
      </c>
      <c r="F33" t="s">
        <v>153</v>
      </c>
    </row>
    <row r="34" spans="1:8" ht="12.75" customHeight="1">
      <c r="A34" t="s">
        <v>76</v>
      </c>
      <c r="B34" t="s">
        <v>154</v>
      </c>
      <c r="C34" t="str">
        <f ca="1"/>
        <v>units_out</v>
      </c>
      <c r="D34" s="58" t="str">
        <f ca="1"/>
        <v>[list of units, comma separated]</v>
      </c>
      <c r="E34" t="s">
        <v>155</v>
      </c>
      <c r="F34" t="s">
        <v>156</v>
      </c>
      <c r="H34" t="s">
        <v>157</v>
      </c>
    </row>
    <row r="35" spans="1:8" ht="12.75" customHeight="1">
      <c r="A35" t="s">
        <v>76</v>
      </c>
      <c r="B35" t="s">
        <v>158</v>
      </c>
      <c r="C35" t="str">
        <f ca="1"/>
        <v>Output Shares</v>
      </c>
      <c r="D35" s="58" t="str">
        <f ca="1"/>
        <v>[list of float, comma separated]</v>
      </c>
      <c r="E35" t="s">
        <v>159</v>
      </c>
    </row>
    <row r="36" spans="1:8" ht="12.75" customHeight="1">
      <c r="A36" t="s">
        <v>76</v>
      </c>
      <c r="B36" t="s">
        <v>160</v>
      </c>
      <c r="C36" t="str">
        <f ca="1"/>
        <v>Output Units - Shares</v>
      </c>
      <c r="D36" s="58" t="str">
        <f ca="1"/>
        <v>[list of units, comma separated]</v>
      </c>
      <c r="E36" t="s">
        <v>161</v>
      </c>
      <c r="F36" t="s">
        <v>162</v>
      </c>
    </row>
    <row r="37" spans="1:8" ht="12.75" customHeight="1">
      <c r="A37" t="s">
        <v>76</v>
      </c>
      <c r="B37" t="s">
        <v>163</v>
      </c>
      <c r="C37" t="str">
        <f ca="1"/>
        <v>theoretical_efficiency</v>
      </c>
      <c r="D37" s="58" t="str">
        <f ca="1"/>
        <v>[0-1]</v>
      </c>
      <c r="E37" t="s">
        <v>164</v>
      </c>
      <c r="F37" t="s">
        <v>165</v>
      </c>
    </row>
    <row r="38" spans="1:8" ht="12.75" customHeight="1">
      <c r="A38" t="s">
        <v>76</v>
      </c>
      <c r="B38" t="s">
        <v>166</v>
      </c>
      <c r="C38" t="str">
        <f ca="1"/>
        <v>operating_temperature_c</v>
      </c>
      <c r="D38" s="64" t="str">
        <f ca="1"/>
        <v>°C</v>
      </c>
      <c r="E38" t="s">
        <v>167</v>
      </c>
      <c r="F38" s="64" t="s">
        <v>168</v>
      </c>
    </row>
    <row r="39" spans="1:8" ht="12.75" customHeight="1">
      <c r="A39" t="s">
        <v>76</v>
      </c>
      <c r="B39" t="s">
        <v>169</v>
      </c>
      <c r="C39" s="63" t="str">
        <f ca="1"/>
        <v>min_installation_size</v>
      </c>
      <c r="D39" s="64" t="str">
        <f ca="1"/>
        <v>kW, kg/hr</v>
      </c>
      <c r="E39" t="s">
        <v>170</v>
      </c>
      <c r="F39" s="64"/>
    </row>
    <row r="40" spans="1:8" ht="12.75" customHeight="1">
      <c r="A40" t="s">
        <v>76</v>
      </c>
      <c r="B40" t="s">
        <v>171</v>
      </c>
      <c r="C40" t="str">
        <f ca="1"/>
        <v>lifetime_yr</v>
      </c>
      <c r="D40" t="str">
        <f ca="1"/>
        <v>Years</v>
      </c>
      <c r="E40" t="s">
        <v>172</v>
      </c>
    </row>
    <row r="41" spans="1:8" ht="12.75" customHeight="1">
      <c r="A41" t="s">
        <v>76</v>
      </c>
      <c r="B41" t="s">
        <v>173</v>
      </c>
      <c r="C41" t="str">
        <f ca="1"/>
        <v>capex_one_time_eur</v>
      </c>
      <c r="D41" t="str">
        <f ca="1"/>
        <v>Currency</v>
      </c>
      <c r="E41" t="s">
        <v>174</v>
      </c>
    </row>
    <row r="42" spans="1:8" ht="12.75" customHeight="1">
      <c r="A42" t="s">
        <v>76</v>
      </c>
      <c r="B42" t="s">
        <v>175</v>
      </c>
      <c r="C42" t="str">
        <f ca="1"/>
        <v>capex_power_capacity_eur_per_kw</v>
      </c>
      <c r="D42" s="58" t="str">
        <f ca="1"/>
        <v>Currency/OutputUnit/Hour</v>
      </c>
      <c r="E42" t="s">
        <v>176</v>
      </c>
      <c r="F42" t="s">
        <v>177</v>
      </c>
      <c r="G42" s="17" t="s">
        <v>178</v>
      </c>
      <c r="H42" t="s">
        <v>179</v>
      </c>
    </row>
    <row r="43" spans="1:8" ht="12.75" customHeight="1">
      <c r="A43" t="s">
        <v>76</v>
      </c>
      <c r="B43" t="s">
        <v>180</v>
      </c>
      <c r="C43" t="str">
        <f ca="1"/>
        <v>opex_one_time_eur</v>
      </c>
      <c r="D43" t="str">
        <f ca="1"/>
        <v>Currency</v>
      </c>
      <c r="E43" t="s">
        <v>181</v>
      </c>
    </row>
    <row r="44" spans="1:8" ht="12.75" customHeight="1">
      <c r="A44" t="s">
        <v>76</v>
      </c>
      <c r="B44" t="s">
        <v>182</v>
      </c>
      <c r="C44" t="str">
        <f ca="1"/>
        <v>opex_fix_pct_of_capex</v>
      </c>
      <c r="D44" t="str">
        <f ca="1"/>
        <v>%</v>
      </c>
      <c r="E44" t="s">
        <v>183</v>
      </c>
    </row>
    <row r="45" spans="1:8" ht="12.75" customHeight="1">
      <c r="A45" t="s">
        <v>76</v>
      </c>
      <c r="B45" t="s">
        <v>184</v>
      </c>
      <c r="C45" t="str">
        <f ca="1"/>
        <v>opex_fix_power_capacity_eur_per_kw_yr</v>
      </c>
      <c r="D45" t="str">
        <f ca="1"/>
        <v xml:space="preserve"> Currency/OutputUnit/Year. Excl. fuels!</v>
      </c>
      <c r="E45" t="s">
        <v>185</v>
      </c>
    </row>
    <row r="46" spans="1:8" ht="12.75" customHeight="1">
      <c r="A46" t="s">
        <v>76</v>
      </c>
      <c r="B46" t="s">
        <v>186</v>
      </c>
      <c r="C46" t="str">
        <f ca="1"/>
        <v>opex_energy_eur_per_unit</v>
      </c>
    </row>
    <row r="47" spans="1:8" ht="12.75" customHeight="1">
      <c r="A47" t="s">
        <v>76</v>
      </c>
      <c r="B47" t="s">
        <v>75</v>
      </c>
      <c r="C47" t="str">
        <f ca="1"/>
        <v>discount_rate_pct</v>
      </c>
    </row>
    <row r="48" spans="1:8" ht="12.75" customHeight="1">
      <c r="A48" t="s">
        <v>76</v>
      </c>
      <c r="B48" t="s">
        <v>187</v>
      </c>
      <c r="C48" t="str">
        <f ca="1"/>
        <v>Value Range Check</v>
      </c>
    </row>
    <row r="49" spans="1:4" ht="12.75" customHeight="1">
      <c r="C49" t="str">
        <f ca="1"/>
        <v>uncertainty_rating</v>
      </c>
    </row>
    <row r="50" spans="1:4" ht="12.75" customHeight="1">
      <c r="C50" t="str">
        <f ca="1"/>
        <v>lca_id</v>
      </c>
    </row>
    <row r="51" spans="1:4" ht="12.75" customHeight="1">
      <c r="C51" t="str">
        <f ca="1"/>
        <v>lca_unit</v>
      </c>
    </row>
    <row r="52" spans="1:4" ht="12.75" customHeight="1">
      <c r="C52" t="str">
        <f ca="1"/>
        <v>embedded_carbon_kgco2e_per_lca_unit</v>
      </c>
    </row>
    <row r="53" spans="1:4" ht="12.75" customHeight="1">
      <c r="C53" t="str">
        <f ca="1"/>
        <v>lca_scenario</v>
      </c>
    </row>
    <row r="54" spans="1:4" ht="12.75" customHeight="1">
      <c r="C54" t="str">
        <f ca="1"/>
        <v>Mass Inflows</v>
      </c>
    </row>
    <row r="55" spans="1:4" ht="12.75" customHeight="1">
      <c r="C55" t="str">
        <f ca="1"/>
        <v>Mass Outflows</v>
      </c>
    </row>
    <row r="56" spans="1:4" ht="12.75" customHeight="1">
      <c r="C56" t="str">
        <f ca="1"/>
        <v>energy_balance_error_pct</v>
      </c>
    </row>
    <row r="57" spans="1:4" ht="12.75" customHeight="1">
      <c r="C57" t="str">
        <f ca="1"/>
        <v>mass_balance_error_pct</v>
      </c>
    </row>
    <row r="60" spans="1:4" ht="12.75" customHeight="1">
      <c r="B60" s="148" t="s">
        <v>188</v>
      </c>
      <c r="C60" s="63" t="s">
        <v>189</v>
      </c>
      <c r="D60" s="149" t="s">
        <v>190</v>
      </c>
    </row>
    <row r="62" spans="1:4" ht="12.75" customHeight="1">
      <c r="A62" t="s">
        <v>191</v>
      </c>
      <c r="B62" t="s">
        <v>192</v>
      </c>
      <c r="C62" t="str" cm="1">
        <f t="array" ref="C62:C102">TRANSPOSE(StorTech!E3:AS3)</f>
        <v>ehubX Tech ID</v>
      </c>
      <c r="D62" t="str" cm="1">
        <f t="array" ref="D62:D102">TRANSPOSE(StorTech!E2:AS2)</f>
        <v>[ehubX Tech ID]</v>
      </c>
    </row>
    <row r="63" spans="1:4" ht="12.75" customHeight="1">
      <c r="A63" t="s">
        <v>191</v>
      </c>
      <c r="B63" t="s">
        <v>81</v>
      </c>
      <c r="C63" t="str">
        <v>Tech Ontology IRI</v>
      </c>
      <c r="D63" t="str">
        <v>[Ontology IRI]</v>
      </c>
    </row>
    <row r="64" spans="1:4" ht="12.75" customHeight="1">
      <c r="A64" t="s">
        <v>191</v>
      </c>
      <c r="B64" t="s">
        <v>84</v>
      </c>
      <c r="C64" t="str">
        <v>Process Type</v>
      </c>
      <c r="D64" t="str">
        <v>[ProcessType]</v>
      </c>
    </row>
    <row r="65" spans="1:6" ht="12.75" customHeight="1">
      <c r="A65" t="s">
        <v>191</v>
      </c>
      <c r="B65" t="s">
        <v>7</v>
      </c>
      <c r="C65" t="str">
        <v>Description</v>
      </c>
      <c r="D65" t="str">
        <v>[str]</v>
      </c>
    </row>
    <row r="66" spans="1:6" ht="12.75" customHeight="1">
      <c r="A66" t="s">
        <v>191</v>
      </c>
      <c r="B66" t="s">
        <v>86</v>
      </c>
      <c r="C66" t="str">
        <v>Main Sector</v>
      </c>
      <c r="D66" t="str">
        <v>[MainSector]</v>
      </c>
    </row>
    <row r="67" spans="1:6" ht="13.2">
      <c r="A67" t="s">
        <v>191</v>
      </c>
      <c r="B67" t="s">
        <v>89</v>
      </c>
      <c r="C67" t="str">
        <v>Main Category</v>
      </c>
      <c r="D67" t="str">
        <v>[MainCategory]</v>
      </c>
    </row>
    <row r="68" spans="1:6" ht="15" customHeight="1">
      <c r="A68" t="s">
        <v>191</v>
      </c>
      <c r="B68" t="s">
        <v>91</v>
      </c>
      <c r="C68" t="str">
        <v>Category Specification</v>
      </c>
      <c r="D68" t="str">
        <v>[CategorySpec]</v>
      </c>
    </row>
    <row r="69" spans="1:6" ht="12.75" customHeight="1">
      <c r="A69" t="s">
        <v>191</v>
      </c>
      <c r="B69" t="s">
        <v>93</v>
      </c>
      <c r="C69" t="str">
        <v>Tech Type</v>
      </c>
      <c r="D69" t="str">
        <v>[TechType]</v>
      </c>
    </row>
    <row r="70" spans="1:6" ht="12.75" customHeight="1">
      <c r="A70" t="s">
        <v>191</v>
      </c>
      <c r="B70" t="s">
        <v>96</v>
      </c>
      <c r="C70" t="str">
        <v>Reference Unit Size</v>
      </c>
      <c r="D70" t="str">
        <v>kW</v>
      </c>
    </row>
    <row r="71" spans="1:6" ht="12.75" customHeight="1">
      <c r="A71" t="s">
        <v>191</v>
      </c>
      <c r="B71" t="s">
        <v>99</v>
      </c>
      <c r="C71" t="str">
        <v>Technology Year</v>
      </c>
      <c r="D71" s="63" t="str">
        <v>[Year]</v>
      </c>
    </row>
    <row r="72" spans="1:6" ht="12.75" customHeight="1">
      <c r="A72" t="s">
        <v>191</v>
      </c>
      <c r="B72" t="s">
        <v>101</v>
      </c>
      <c r="C72" t="str">
        <v>Cost Base</v>
      </c>
      <c r="D72" s="63" t="str">
        <v>[Location]</v>
      </c>
    </row>
    <row r="73" spans="1:6" ht="12.75" customHeight="1">
      <c r="A73" t="s">
        <v>191</v>
      </c>
      <c r="B73" t="s">
        <v>104</v>
      </c>
      <c r="C73" t="str">
        <v>Currency</v>
      </c>
      <c r="D73" t="str">
        <v>[Currency]</v>
      </c>
    </row>
    <row r="74" spans="1:6" ht="12.75" customHeight="1">
      <c r="A74" t="s">
        <v>191</v>
      </c>
      <c r="B74" t="s">
        <v>107</v>
      </c>
      <c r="C74" t="str">
        <v>Data Reference Year</v>
      </c>
      <c r="D74" t="str">
        <v>[Year]</v>
      </c>
    </row>
    <row r="75" spans="1:6" ht="12.75" customHeight="1">
      <c r="A75" t="s">
        <v>191</v>
      </c>
      <c r="B75" t="s">
        <v>112</v>
      </c>
      <c r="C75" t="str">
        <v>Technology Maturity Evaluation</v>
      </c>
      <c r="D75" t="str">
        <v>[TechMaturity]</v>
      </c>
    </row>
    <row r="76" spans="1:6" ht="12.75" customHeight="1">
      <c r="A76" t="s">
        <v>191</v>
      </c>
      <c r="B76" t="s">
        <v>115</v>
      </c>
      <c r="C76" t="str">
        <v>Technology Boundary</v>
      </c>
      <c r="D76" t="str">
        <v>[TechBoundary]</v>
      </c>
    </row>
    <row r="77" spans="1:6" ht="12.75" customHeight="1">
      <c r="A77" t="s">
        <v>191</v>
      </c>
      <c r="B77" t="s">
        <v>99</v>
      </c>
      <c r="C77" t="str">
        <v>Technology Year</v>
      </c>
      <c r="D77" t="str">
        <v>Year</v>
      </c>
    </row>
    <row r="78" spans="1:6" ht="12.75" customHeight="1">
      <c r="A78" t="s">
        <v>191</v>
      </c>
      <c r="B78" t="s">
        <v>119</v>
      </c>
      <c r="C78" t="str">
        <v>Overall Efficiency</v>
      </c>
      <c r="D78" t="str">
        <v>[0-1]</v>
      </c>
    </row>
    <row r="79" spans="1:6" ht="12.75" customHeight="1">
      <c r="A79" t="s">
        <v>191</v>
      </c>
      <c r="B79" t="s">
        <v>121</v>
      </c>
      <c r="C79" t="str">
        <v>Input, Output for Overall Efficiency</v>
      </c>
      <c r="D79" t="str">
        <v>[Input Carrier, Output Carrier]</v>
      </c>
      <c r="F79" t="s">
        <v>193</v>
      </c>
    </row>
    <row r="80" spans="1:6" ht="12.75" customHeight="1">
      <c r="A80" t="s">
        <v>191</v>
      </c>
      <c r="B80" t="s">
        <v>123</v>
      </c>
      <c r="C80" t="str">
        <v>Input Carriers</v>
      </c>
      <c r="D80" t="str">
        <v>[list of Carriers]</v>
      </c>
      <c r="F80" t="s">
        <v>144</v>
      </c>
    </row>
    <row r="81" spans="1:6" ht="12.75" customHeight="1">
      <c r="A81" t="s">
        <v>191</v>
      </c>
      <c r="B81" s="148" t="s">
        <v>194</v>
      </c>
      <c r="C81" t="str">
        <v>Storage Carrier</v>
      </c>
      <c r="D81" t="str">
        <v>[Carrier]</v>
      </c>
      <c r="F81" t="s">
        <v>195</v>
      </c>
    </row>
    <row r="82" spans="1:6" ht="12.75" customHeight="1">
      <c r="A82" t="s">
        <v>191</v>
      </c>
      <c r="B82" t="s">
        <v>142</v>
      </c>
      <c r="C82" t="str">
        <v>Minimum Installation</v>
      </c>
      <c r="D82" t="str">
        <v>kWh</v>
      </c>
      <c r="F82" t="s">
        <v>196</v>
      </c>
    </row>
    <row r="83" spans="1:6" ht="12.75" customHeight="1">
      <c r="A83" t="s">
        <v>191</v>
      </c>
      <c r="B83" s="148" t="s">
        <v>197</v>
      </c>
      <c r="C83" t="str">
        <v>Charging Capacity Factor</v>
      </c>
      <c r="D83" t="str">
        <v>[float]</v>
      </c>
      <c r="F83" t="s">
        <v>198</v>
      </c>
    </row>
    <row r="84" spans="1:6" ht="12.75" customHeight="1">
      <c r="A84" t="s">
        <v>191</v>
      </c>
      <c r="B84" s="148" t="s">
        <v>199</v>
      </c>
      <c r="C84" t="str">
        <v>Discharging Capacity Factor</v>
      </c>
      <c r="D84" t="str">
        <v>[float]</v>
      </c>
      <c r="F84" t="s">
        <v>200</v>
      </c>
    </row>
    <row r="85" spans="1:6" ht="12.75" customHeight="1">
      <c r="A85" t="s">
        <v>191</v>
      </c>
      <c r="B85" s="148" t="s">
        <v>201</v>
      </c>
      <c r="C85" t="str">
        <v>Charging Efficiency</v>
      </c>
      <c r="D85" t="str">
        <v>[float]</v>
      </c>
      <c r="F85" t="s">
        <v>202</v>
      </c>
    </row>
    <row r="86" spans="1:6" ht="12.75" customHeight="1">
      <c r="A86" t="s">
        <v>191</v>
      </c>
      <c r="B86" t="s">
        <v>203</v>
      </c>
      <c r="C86" t="str">
        <v>Discharging Efficiency</v>
      </c>
      <c r="D86" t="str">
        <v>[float]</v>
      </c>
      <c r="F86" t="s">
        <v>204</v>
      </c>
    </row>
    <row r="87" spans="1:6" ht="12.75" customHeight="1">
      <c r="A87" s="148" t="s">
        <v>191</v>
      </c>
      <c r="B87" s="148" t="s">
        <v>205</v>
      </c>
      <c r="C87" s="148" t="str">
        <v>Minimum SOC</v>
      </c>
      <c r="D87" t="str">
        <v>[float]</v>
      </c>
      <c r="F87" t="s">
        <v>206</v>
      </c>
    </row>
    <row r="88" spans="1:6" ht="12.75" customHeight="1">
      <c r="A88" s="148" t="s">
        <v>191</v>
      </c>
      <c r="B88" s="148" t="s">
        <v>207</v>
      </c>
      <c r="C88" s="148" t="str">
        <v>Maximum SOC</v>
      </c>
      <c r="D88" t="str">
        <v>[float]</v>
      </c>
      <c r="F88" t="s">
        <v>147</v>
      </c>
    </row>
    <row r="89" spans="1:6" ht="12.75" customHeight="1">
      <c r="A89" s="148" t="s">
        <v>191</v>
      </c>
      <c r="B89" s="148" t="s">
        <v>208</v>
      </c>
      <c r="C89" s="63" t="str">
        <v>Standby Loss</v>
      </c>
      <c r="D89" t="str">
        <v>Loss/hour</v>
      </c>
      <c r="F89" t="s">
        <v>168</v>
      </c>
    </row>
    <row r="90" spans="1:6" ht="12.75" customHeight="1">
      <c r="A90" t="s">
        <v>191</v>
      </c>
      <c r="B90" t="s">
        <v>145</v>
      </c>
      <c r="C90" t="str">
        <v>Economic Lifetime</v>
      </c>
      <c r="D90" t="str">
        <v>Years</v>
      </c>
      <c r="F90" t="s">
        <v>150</v>
      </c>
    </row>
    <row r="91" spans="1:6" ht="12.75" customHeight="1">
      <c r="A91" t="s">
        <v>191</v>
      </c>
      <c r="B91" t="s">
        <v>148</v>
      </c>
      <c r="C91" t="str">
        <v>CAPEX One Time</v>
      </c>
      <c r="D91" t="str">
        <v>Currency</v>
      </c>
      <c r="F91" t="s">
        <v>153</v>
      </c>
    </row>
    <row r="92" spans="1:6" ht="12.75" customHeight="1">
      <c r="A92" t="s">
        <v>191</v>
      </c>
      <c r="B92" s="148" t="s">
        <v>209</v>
      </c>
      <c r="C92" t="str">
        <v>CAPEX Storage Capacity</v>
      </c>
      <c r="D92" t="str">
        <v>Currency/kWh</v>
      </c>
      <c r="F92" t="s">
        <v>156</v>
      </c>
    </row>
    <row r="93" spans="1:6" ht="12.75" customHeight="1">
      <c r="A93" t="s">
        <v>191</v>
      </c>
      <c r="B93" t="s">
        <v>154</v>
      </c>
      <c r="C93" t="str">
        <v>OPEX One Time</v>
      </c>
      <c r="D93" t="str">
        <v>Currency/year</v>
      </c>
      <c r="F93" t="s">
        <v>162</v>
      </c>
    </row>
    <row r="94" spans="1:6" ht="12.75" customHeight="1">
      <c r="A94" t="s">
        <v>191</v>
      </c>
      <c r="B94" s="148" t="s">
        <v>210</v>
      </c>
      <c r="C94" t="str">
        <v>OPEX Storage Capacity</v>
      </c>
      <c r="D94" t="str">
        <v xml:space="preserve"> Currency/kWh.year</v>
      </c>
    </row>
    <row r="95" spans="1:6" ht="12.75" customHeight="1">
      <c r="A95" t="s">
        <v>191</v>
      </c>
      <c r="B95" t="s">
        <v>166</v>
      </c>
      <c r="C95" t="str">
        <v>Discount Rate</v>
      </c>
      <c r="D95" t="str">
        <v>[float]</v>
      </c>
    </row>
    <row r="96" spans="1:6" ht="12.75" customHeight="1">
      <c r="B96" s="148" t="s">
        <v>169</v>
      </c>
      <c r="C96" t="str">
        <v>Value Range Check</v>
      </c>
      <c r="D96" t="str">
        <v>[boolean]</v>
      </c>
    </row>
    <row r="97" spans="1:6" ht="12.75" customHeight="1">
      <c r="B97" t="s">
        <v>171</v>
      </c>
      <c r="C97" t="str">
        <v xml:space="preserve">Uncertainty Rating </v>
      </c>
      <c r="D97" t="str">
        <v>[UncertaintyLevel]</v>
      </c>
    </row>
    <row r="98" spans="1:6" ht="12.75" customHeight="1">
      <c r="A98" t="s">
        <v>191</v>
      </c>
      <c r="B98" t="s">
        <v>173</v>
      </c>
      <c r="C98" t="str">
        <v>LCA ID</v>
      </c>
      <c r="D98" s="58" t="str">
        <v>[LCA ID]</v>
      </c>
      <c r="F98" t="s">
        <v>177</v>
      </c>
    </row>
    <row r="99" spans="1:6" ht="12.75" customHeight="1">
      <c r="A99" t="s">
        <v>191</v>
      </c>
      <c r="B99" t="s">
        <v>211</v>
      </c>
      <c r="C99" t="str">
        <v>LCA Unit</v>
      </c>
      <c r="D99" t="str">
        <v>[LCA Unit]</v>
      </c>
    </row>
    <row r="100" spans="1:6" ht="12.75" customHeight="1">
      <c r="A100" t="s">
        <v>191</v>
      </c>
      <c r="B100" t="s">
        <v>180</v>
      </c>
      <c r="C100" t="str">
        <v>Embedded Carbon</v>
      </c>
      <c r="D100" t="str">
        <v>[kgCO2-eq/LCA unit]</v>
      </c>
    </row>
    <row r="101" spans="1:6" ht="12.75" customHeight="1">
      <c r="A101" t="s">
        <v>191</v>
      </c>
      <c r="B101" t="s">
        <v>182</v>
      </c>
      <c r="C101" t="str">
        <v>LCA Scenario</v>
      </c>
      <c r="D101" t="str">
        <v>[LCA Scenario]</v>
      </c>
    </row>
    <row r="102" spans="1:6" ht="12.75" customHeight="1">
      <c r="A102" t="s">
        <v>191</v>
      </c>
      <c r="B102" t="s">
        <v>184</v>
      </c>
      <c r="C102" t="str">
        <v>References</v>
      </c>
      <c r="D102" t="str">
        <v>[dict of ReferenceID]</v>
      </c>
    </row>
    <row r="104" spans="1:6" ht="12.75" customHeight="1">
      <c r="A104" t="s">
        <v>212</v>
      </c>
      <c r="B104" t="s">
        <v>77</v>
      </c>
      <c r="C104" t="str" cm="1">
        <f t="array" ref="C104:C146">TRANSPOSE(SolarTech!E3:AU3)</f>
        <v>ehubX Tech ID</v>
      </c>
      <c r="D104" t="str" cm="1">
        <f t="array" ref="D104:D146">TRANSPOSE(SolarTech!E2:AU2)</f>
        <v>[ehubX Tech ID]</v>
      </c>
      <c r="F104" t="s">
        <v>79</v>
      </c>
    </row>
    <row r="105" spans="1:6" ht="12.75" customHeight="1">
      <c r="A105" t="s">
        <v>212</v>
      </c>
      <c r="B105" t="s">
        <v>81</v>
      </c>
      <c r="C105" t="str">
        <v>Tech Ontology IRI</v>
      </c>
      <c r="D105" t="str">
        <v>[Ontology IRI]</v>
      </c>
    </row>
    <row r="106" spans="1:6" ht="12.75" customHeight="1">
      <c r="A106" t="s">
        <v>212</v>
      </c>
      <c r="B106" t="s">
        <v>7</v>
      </c>
      <c r="C106" t="str">
        <v>Process Type</v>
      </c>
      <c r="D106" t="str">
        <v>[ProcessType]</v>
      </c>
    </row>
    <row r="107" spans="1:6" ht="12.75" customHeight="1">
      <c r="A107" t="s">
        <v>212</v>
      </c>
      <c r="B107" t="s">
        <v>213</v>
      </c>
      <c r="C107" t="str">
        <v>Description</v>
      </c>
      <c r="D107" t="str">
        <v>[Description]</v>
      </c>
    </row>
    <row r="108" spans="1:6" ht="12.75" customHeight="1">
      <c r="A108" t="s">
        <v>212</v>
      </c>
      <c r="B108" t="s">
        <v>86</v>
      </c>
      <c r="C108" t="str">
        <v>Main Sector</v>
      </c>
      <c r="D108" t="str">
        <v>[MainSector]</v>
      </c>
    </row>
    <row r="109" spans="1:6" ht="12.75" customHeight="1">
      <c r="A109" t="s">
        <v>212</v>
      </c>
      <c r="B109" t="s">
        <v>89</v>
      </c>
      <c r="C109" t="str">
        <v>Main Category</v>
      </c>
      <c r="D109" t="str">
        <v>[MainCategory]</v>
      </c>
    </row>
    <row r="110" spans="1:6" ht="12.75" customHeight="1">
      <c r="A110" t="s">
        <v>212</v>
      </c>
      <c r="B110" t="s">
        <v>91</v>
      </c>
      <c r="C110" t="str">
        <v>Category Specification</v>
      </c>
      <c r="D110" t="str">
        <v>[CategorySpec]</v>
      </c>
    </row>
    <row r="111" spans="1:6" ht="12.75" customHeight="1">
      <c r="A111" t="s">
        <v>212</v>
      </c>
      <c r="B111" t="s">
        <v>93</v>
      </c>
      <c r="C111" t="str">
        <v>Tech Type</v>
      </c>
      <c r="D111" t="str">
        <v>[TechType]</v>
      </c>
    </row>
    <row r="112" spans="1:6" ht="12.75" customHeight="1">
      <c r="A112" t="s">
        <v>212</v>
      </c>
      <c r="B112" t="s">
        <v>96</v>
      </c>
      <c r="C112" t="str">
        <v>Reference Unit Size</v>
      </c>
      <c r="D112" t="str">
        <v>kW</v>
      </c>
    </row>
    <row r="113" spans="1:6" ht="12.75" customHeight="1">
      <c r="A113" t="s">
        <v>212</v>
      </c>
      <c r="B113" t="s">
        <v>99</v>
      </c>
      <c r="C113" t="str">
        <v>Technology Year</v>
      </c>
      <c r="D113" t="str">
        <v>[Year]</v>
      </c>
      <c r="F113" t="s">
        <v>214</v>
      </c>
    </row>
    <row r="114" spans="1:6" ht="12.75" customHeight="1">
      <c r="A114" t="s">
        <v>212</v>
      </c>
      <c r="B114" t="s">
        <v>101</v>
      </c>
      <c r="C114" t="str">
        <v>Cost Base</v>
      </c>
      <c r="D114" t="str">
        <v>[Location]</v>
      </c>
    </row>
    <row r="115" spans="1:6" ht="12.75" customHeight="1">
      <c r="A115" t="s">
        <v>212</v>
      </c>
      <c r="B115" t="s">
        <v>104</v>
      </c>
      <c r="C115" t="str">
        <v>Currency</v>
      </c>
      <c r="D115" t="str">
        <v>[Currency]</v>
      </c>
    </row>
    <row r="116" spans="1:6" ht="12.75" customHeight="1">
      <c r="A116" t="s">
        <v>212</v>
      </c>
      <c r="B116" t="s">
        <v>107</v>
      </c>
      <c r="C116" t="str">
        <v>Data Reference Year</v>
      </c>
      <c r="D116" t="str">
        <v>Year</v>
      </c>
    </row>
    <row r="117" spans="1:6" ht="12.75" customHeight="1">
      <c r="A117" t="s">
        <v>212</v>
      </c>
      <c r="B117" t="s">
        <v>112</v>
      </c>
      <c r="C117" t="str">
        <v>Technology Maturity Evaluation</v>
      </c>
      <c r="D117" t="str">
        <v>[TechMaturity]</v>
      </c>
    </row>
    <row r="118" spans="1:6" ht="12.75" customHeight="1">
      <c r="A118" t="s">
        <v>212</v>
      </c>
      <c r="B118" t="s">
        <v>115</v>
      </c>
      <c r="C118" t="str">
        <v>Technology Boundary</v>
      </c>
      <c r="D118" t="str">
        <v>[TechBoundary]</v>
      </c>
      <c r="F118" t="s">
        <v>114</v>
      </c>
    </row>
    <row r="119" spans="1:6" ht="12.75" customHeight="1">
      <c r="A119" t="s">
        <v>212</v>
      </c>
      <c r="B119" t="s">
        <v>215</v>
      </c>
      <c r="C119" t="str">
        <v>Tech drawing added?</v>
      </c>
      <c r="D119" t="str">
        <v>[boolean]</v>
      </c>
    </row>
    <row r="120" spans="1:6" ht="12.75" customHeight="1">
      <c r="A120" t="s">
        <v>212</v>
      </c>
      <c r="B120" t="s">
        <v>119</v>
      </c>
      <c r="C120" t="str">
        <v>Overall Efficiency</v>
      </c>
      <c r="D120" t="str">
        <v>[float]</v>
      </c>
    </row>
    <row r="121" spans="1:6" ht="12.75" customHeight="1">
      <c r="A121" t="s">
        <v>212</v>
      </c>
      <c r="B121" t="s">
        <v>121</v>
      </c>
      <c r="C121" t="str">
        <v>Input, Output for Overall Efficiency</v>
      </c>
      <c r="D121" s="63" t="str">
        <v>[float]</v>
      </c>
      <c r="F121" s="63" t="s">
        <v>125</v>
      </c>
    </row>
    <row r="122" spans="1:6" ht="12.75" customHeight="1">
      <c r="A122" t="s">
        <v>212</v>
      </c>
      <c r="B122" t="s">
        <v>123</v>
      </c>
      <c r="C122" t="str">
        <v>Input Carriers</v>
      </c>
      <c r="D122" s="63" t="str">
        <v>[list of Carriers]</v>
      </c>
      <c r="F122" s="63" t="s">
        <v>125</v>
      </c>
    </row>
    <row r="123" spans="1:6" ht="12.75" customHeight="1">
      <c r="A123" t="s">
        <v>212</v>
      </c>
      <c r="B123" t="s">
        <v>126</v>
      </c>
      <c r="C123" t="str">
        <v>Main Input Carrier</v>
      </c>
      <c r="D123" s="63" t="str">
        <v>[Carrier]</v>
      </c>
      <c r="F123" s="63" t="s">
        <v>134</v>
      </c>
    </row>
    <row r="124" spans="1:6" ht="12.75" customHeight="1">
      <c r="A124" t="s">
        <v>212</v>
      </c>
      <c r="B124" t="s">
        <v>128</v>
      </c>
      <c r="C124" t="str">
        <v>Input Shares</v>
      </c>
      <c r="D124" t="str">
        <v>[list of floats, comma separated]</v>
      </c>
      <c r="F124" t="s">
        <v>137</v>
      </c>
    </row>
    <row r="125" spans="1:6" ht="12.75" customHeight="1">
      <c r="A125" t="s">
        <v>212</v>
      </c>
      <c r="B125" t="s">
        <v>130</v>
      </c>
      <c r="C125" t="str">
        <v>Input Units</v>
      </c>
      <c r="D125" s="63" t="str">
        <v>[list of units in kWh and kg]</v>
      </c>
      <c r="F125" s="63" t="s">
        <v>134</v>
      </c>
    </row>
    <row r="126" spans="1:6" ht="12.75" customHeight="1">
      <c r="A126" t="s">
        <v>212</v>
      </c>
      <c r="B126" t="s">
        <v>132</v>
      </c>
      <c r="C126" t="str">
        <v>Output Carriers</v>
      </c>
      <c r="D126" t="str">
        <v>[list of Carriers]</v>
      </c>
      <c r="F126" t="s">
        <v>144</v>
      </c>
    </row>
    <row r="127" spans="1:6" ht="12.75" customHeight="1">
      <c r="A127" t="s">
        <v>212</v>
      </c>
      <c r="B127" t="s">
        <v>135</v>
      </c>
      <c r="C127" t="str">
        <v>Main Output Carrier</v>
      </c>
      <c r="D127" t="str">
        <v>[Carrier]</v>
      </c>
      <c r="F127" t="s">
        <v>216</v>
      </c>
    </row>
    <row r="128" spans="1:6" ht="12.75" customHeight="1">
      <c r="A128" t="s">
        <v>212</v>
      </c>
      <c r="B128" t="s">
        <v>138</v>
      </c>
      <c r="C128" t="str">
        <v>Output Shares</v>
      </c>
      <c r="D128" t="str">
        <v>[list of float, comma separated]</v>
      </c>
      <c r="F128" t="s">
        <v>147</v>
      </c>
    </row>
    <row r="129" spans="1:6" ht="12.75" customHeight="1">
      <c r="A129" t="s">
        <v>212</v>
      </c>
      <c r="B129" t="s">
        <v>217</v>
      </c>
      <c r="C129" t="str">
        <v>Output Unit</v>
      </c>
      <c r="D129" t="str">
        <v>[list of units, comma separated]</v>
      </c>
      <c r="F129" t="s">
        <v>150</v>
      </c>
    </row>
    <row r="130" spans="1:6" ht="12.75" customHeight="1">
      <c r="A130" t="s">
        <v>212</v>
      </c>
      <c r="B130" t="s">
        <v>142</v>
      </c>
      <c r="C130" t="str">
        <v>Minimum Installation</v>
      </c>
      <c r="D130" t="str">
        <v>kW</v>
      </c>
      <c r="F130" t="s">
        <v>153</v>
      </c>
    </row>
    <row r="131" spans="1:6" ht="12.75" customHeight="1">
      <c r="A131" t="s">
        <v>212</v>
      </c>
      <c r="B131" t="s">
        <v>218</v>
      </c>
      <c r="C131" t="str">
        <v>Maximum Curtailment Fraction</v>
      </c>
      <c r="D131" t="str">
        <v>[float]</v>
      </c>
      <c r="F131" t="s">
        <v>156</v>
      </c>
    </row>
    <row r="132" spans="1:6" ht="12.75" customHeight="1">
      <c r="A132" t="s">
        <v>212</v>
      </c>
      <c r="B132" t="s">
        <v>145</v>
      </c>
      <c r="C132" t="str">
        <v>Economic Lifetime</v>
      </c>
      <c r="D132" t="str">
        <v>Years</v>
      </c>
      <c r="F132" t="s">
        <v>162</v>
      </c>
    </row>
    <row r="133" spans="1:6" ht="12.75" customHeight="1">
      <c r="A133" t="s">
        <v>212</v>
      </c>
      <c r="B133" t="s">
        <v>148</v>
      </c>
      <c r="C133" t="str">
        <v>CAPEX One Time</v>
      </c>
      <c r="D133" t="str">
        <v>Currency</v>
      </c>
      <c r="F133" t="s">
        <v>177</v>
      </c>
    </row>
    <row r="134" spans="1:6" ht="12.75" customHeight="1">
      <c r="A134" t="s">
        <v>212</v>
      </c>
      <c r="B134" t="s">
        <v>151</v>
      </c>
      <c r="C134" t="str">
        <v>CAPEX Power Capacity</v>
      </c>
      <c r="D134" t="str">
        <v>Currency/kW</v>
      </c>
      <c r="F134" t="s">
        <v>168</v>
      </c>
    </row>
    <row r="135" spans="1:6" ht="12.75" customHeight="1">
      <c r="A135" t="s">
        <v>212</v>
      </c>
      <c r="B135" t="s">
        <v>154</v>
      </c>
      <c r="C135" t="str">
        <v>OPEX One Time</v>
      </c>
      <c r="D135" t="str">
        <v>Currency/year</v>
      </c>
    </row>
    <row r="136" spans="1:6" ht="12.75" customHeight="1">
      <c r="A136" t="s">
        <v>212</v>
      </c>
      <c r="B136" t="s">
        <v>219</v>
      </c>
      <c r="C136" t="str">
        <v>OPEX Power Capacity as Percentage of CAPEX</v>
      </c>
      <c r="D136" t="str">
        <v>%</v>
      </c>
    </row>
    <row r="137" spans="1:6" ht="12.75" customHeight="1">
      <c r="A137" t="s">
        <v>212</v>
      </c>
      <c r="B137" t="s">
        <v>220</v>
      </c>
      <c r="C137" t="str">
        <v>OPEX Power Capacity</v>
      </c>
      <c r="D137" s="63" t="str">
        <v xml:space="preserve"> Currency/kW/Year</v>
      </c>
      <c r="F137" s="63" t="s">
        <v>177</v>
      </c>
    </row>
    <row r="138" spans="1:6" ht="12.75" customHeight="1">
      <c r="A138" t="s">
        <v>212</v>
      </c>
      <c r="B138" t="s">
        <v>163</v>
      </c>
      <c r="C138" t="str">
        <v>OPEX Energy</v>
      </c>
      <c r="D138" t="str">
        <v xml:space="preserve"> Currency/kWh/Year</v>
      </c>
    </row>
    <row r="139" spans="1:6" ht="12.75" customHeight="1">
      <c r="A139" t="s">
        <v>212</v>
      </c>
      <c r="B139" t="s">
        <v>166</v>
      </c>
      <c r="C139" t="str">
        <v>Discount Rate</v>
      </c>
      <c r="D139" t="str">
        <v>[float]</v>
      </c>
    </row>
    <row r="140" spans="1:6" ht="12.75" customHeight="1">
      <c r="A140" t="s">
        <v>212</v>
      </c>
      <c r="B140" t="s">
        <v>169</v>
      </c>
      <c r="C140" t="str">
        <v>Value Range Check</v>
      </c>
      <c r="D140" t="str">
        <v>[boolean]</v>
      </c>
    </row>
    <row r="141" spans="1:6" ht="12.75" customHeight="1">
      <c r="A141" t="s">
        <v>212</v>
      </c>
      <c r="B141" t="s">
        <v>171</v>
      </c>
      <c r="C141" t="str">
        <v>Uncertainty Rating</v>
      </c>
      <c r="D141" t="str">
        <v>[str]</v>
      </c>
    </row>
    <row r="142" spans="1:6" ht="12.75" customHeight="1">
      <c r="A142" t="s">
        <v>212</v>
      </c>
      <c r="B142" t="s">
        <v>173</v>
      </c>
      <c r="C142" t="str">
        <v>LCA ID</v>
      </c>
      <c r="D142" t="str">
        <v>[LCA ID]</v>
      </c>
    </row>
    <row r="143" spans="1:6" ht="12.75" customHeight="1">
      <c r="A143" t="s">
        <v>212</v>
      </c>
      <c r="B143" t="s">
        <v>211</v>
      </c>
      <c r="C143" t="str">
        <v>LCA Unit</v>
      </c>
      <c r="D143" t="str">
        <v>[LCA Unit]</v>
      </c>
    </row>
    <row r="144" spans="1:6" ht="12.75" customHeight="1">
      <c r="A144" t="s">
        <v>212</v>
      </c>
      <c r="B144" t="s">
        <v>180</v>
      </c>
      <c r="C144" t="str">
        <v>Embedded Carbon</v>
      </c>
      <c r="D144" t="str">
        <v>[Embedded Carbon]</v>
      </c>
    </row>
    <row r="145" spans="1:4" ht="12.75" customHeight="1">
      <c r="A145" t="s">
        <v>212</v>
      </c>
      <c r="B145" t="s">
        <v>182</v>
      </c>
      <c r="C145" t="str">
        <v>LCA Scenario</v>
      </c>
      <c r="D145" t="str">
        <v>[LCA Scenario]</v>
      </c>
    </row>
    <row r="146" spans="1:4" ht="12.75" customHeight="1">
      <c r="A146" t="s">
        <v>212</v>
      </c>
      <c r="B146" t="s">
        <v>184</v>
      </c>
      <c r="C146" t="str">
        <v>References</v>
      </c>
      <c r="D146" t="str">
        <v>[dict of ReferenceID]</v>
      </c>
    </row>
    <row r="147" spans="1:4" ht="12.75" customHeight="1">
      <c r="A147" s="149" t="s">
        <v>212</v>
      </c>
      <c r="B147" s="149" t="s">
        <v>221</v>
      </c>
    </row>
    <row r="148" spans="1:4" ht="12.75" customHeight="1">
      <c r="A148" s="149" t="s">
        <v>212</v>
      </c>
      <c r="B148" s="149" t="s">
        <v>222</v>
      </c>
    </row>
    <row r="159" spans="1:4" ht="12.75" customHeight="1">
      <c r="A159" t="s">
        <v>69</v>
      </c>
      <c r="B159" t="s">
        <v>70</v>
      </c>
      <c r="C159" t="s">
        <v>212</v>
      </c>
    </row>
    <row r="160" spans="1:4" ht="12.75" customHeight="1">
      <c r="A160" t="s">
        <v>76</v>
      </c>
      <c r="B160" t="s">
        <v>77</v>
      </c>
      <c r="C160" t="s">
        <v>77</v>
      </c>
    </row>
    <row r="161" spans="1:3" ht="12.75" customHeight="1">
      <c r="A161" t="s">
        <v>76</v>
      </c>
      <c r="B161" t="s">
        <v>81</v>
      </c>
      <c r="C161" t="s">
        <v>81</v>
      </c>
    </row>
    <row r="162" spans="1:3" ht="12.75" customHeight="1">
      <c r="A162" t="s">
        <v>76</v>
      </c>
      <c r="B162" t="s">
        <v>84</v>
      </c>
      <c r="C162" t="s">
        <v>7</v>
      </c>
    </row>
    <row r="163" spans="1:3" ht="12.75" customHeight="1">
      <c r="A163" t="s">
        <v>76</v>
      </c>
      <c r="B163" t="s">
        <v>7</v>
      </c>
      <c r="C163" t="s">
        <v>213</v>
      </c>
    </row>
    <row r="165" spans="1:3" ht="12.75" customHeight="1">
      <c r="A165" t="s">
        <v>76</v>
      </c>
      <c r="B165" t="s">
        <v>86</v>
      </c>
      <c r="C165" t="s">
        <v>86</v>
      </c>
    </row>
    <row r="166" spans="1:3" ht="12.75" customHeight="1">
      <c r="A166" t="s">
        <v>76</v>
      </c>
      <c r="B166" t="s">
        <v>89</v>
      </c>
      <c r="C166" t="s">
        <v>89</v>
      </c>
    </row>
    <row r="167" spans="1:3" ht="12.75" customHeight="1">
      <c r="A167" t="s">
        <v>76</v>
      </c>
      <c r="B167" t="s">
        <v>91</v>
      </c>
      <c r="C167" t="s">
        <v>91</v>
      </c>
    </row>
    <row r="168" spans="1:3" ht="12.75" customHeight="1">
      <c r="A168" t="s">
        <v>76</v>
      </c>
      <c r="B168" t="s">
        <v>93</v>
      </c>
      <c r="C168" t="s">
        <v>93</v>
      </c>
    </row>
    <row r="169" spans="1:3" ht="12.75" customHeight="1">
      <c r="A169" t="s">
        <v>76</v>
      </c>
      <c r="B169" t="s">
        <v>96</v>
      </c>
      <c r="C169" t="s">
        <v>96</v>
      </c>
    </row>
    <row r="170" spans="1:3" ht="12.75" customHeight="1">
      <c r="A170" t="s">
        <v>76</v>
      </c>
      <c r="B170" t="s">
        <v>99</v>
      </c>
      <c r="C170" t="s">
        <v>99</v>
      </c>
    </row>
    <row r="171" spans="1:3" ht="12.75" customHeight="1">
      <c r="A171" t="s">
        <v>76</v>
      </c>
      <c r="B171" t="s">
        <v>101</v>
      </c>
      <c r="C171" t="s">
        <v>101</v>
      </c>
    </row>
    <row r="172" spans="1:3" ht="12.75" customHeight="1">
      <c r="A172" t="s">
        <v>76</v>
      </c>
      <c r="B172" t="s">
        <v>104</v>
      </c>
      <c r="C172" t="s">
        <v>104</v>
      </c>
    </row>
    <row r="173" spans="1:3" ht="12.75" customHeight="1">
      <c r="A173" t="s">
        <v>76</v>
      </c>
      <c r="B173" t="s">
        <v>107</v>
      </c>
      <c r="C173" t="s">
        <v>107</v>
      </c>
    </row>
    <row r="174" spans="1:3" ht="12.75" customHeight="1">
      <c r="A174" t="s">
        <v>76</v>
      </c>
      <c r="B174" t="s">
        <v>110</v>
      </c>
      <c r="C174" t="s">
        <v>112</v>
      </c>
    </row>
    <row r="175" spans="1:3" ht="12.75" customHeight="1">
      <c r="A175" t="s">
        <v>76</v>
      </c>
      <c r="B175" t="s">
        <v>112</v>
      </c>
      <c r="C175" t="s">
        <v>115</v>
      </c>
    </row>
    <row r="176" spans="1:3" ht="12.75" customHeight="1">
      <c r="A176" t="s">
        <v>76</v>
      </c>
      <c r="B176" t="s">
        <v>115</v>
      </c>
      <c r="C176" t="s">
        <v>215</v>
      </c>
    </row>
    <row r="177" spans="1:3" ht="12.75" customHeight="1">
      <c r="A177" t="s">
        <v>76</v>
      </c>
      <c r="B177" t="s">
        <v>118</v>
      </c>
    </row>
    <row r="178" spans="1:3" ht="12.75" customHeight="1">
      <c r="A178" t="s">
        <v>76</v>
      </c>
      <c r="B178" t="s">
        <v>119</v>
      </c>
      <c r="C178" t="s">
        <v>119</v>
      </c>
    </row>
    <row r="179" spans="1:3" ht="12.75" customHeight="1">
      <c r="A179" t="s">
        <v>76</v>
      </c>
      <c r="B179" t="s">
        <v>121</v>
      </c>
      <c r="C179" t="s">
        <v>121</v>
      </c>
    </row>
    <row r="180" spans="1:3" ht="12.75" customHeight="1">
      <c r="A180" t="s">
        <v>76</v>
      </c>
      <c r="B180" t="s">
        <v>123</v>
      </c>
      <c r="C180" t="s">
        <v>123</v>
      </c>
    </row>
    <row r="181" spans="1:3" ht="12.75" customHeight="1">
      <c r="A181" t="s">
        <v>76</v>
      </c>
      <c r="B181" t="s">
        <v>126</v>
      </c>
      <c r="C181" t="s">
        <v>126</v>
      </c>
    </row>
    <row r="182" spans="1:3" ht="12.75" customHeight="1">
      <c r="A182" t="s">
        <v>76</v>
      </c>
      <c r="B182" t="s">
        <v>128</v>
      </c>
      <c r="C182" t="s">
        <v>128</v>
      </c>
    </row>
    <row r="183" spans="1:3" ht="12.75" customHeight="1">
      <c r="A183" t="s">
        <v>76</v>
      </c>
      <c r="B183" t="s">
        <v>130</v>
      </c>
      <c r="C183" t="s">
        <v>130</v>
      </c>
    </row>
    <row r="184" spans="1:3" ht="12.75" customHeight="1">
      <c r="A184" t="s">
        <v>76</v>
      </c>
      <c r="B184" t="s">
        <v>132</v>
      </c>
      <c r="C184" t="s">
        <v>132</v>
      </c>
    </row>
    <row r="185" spans="1:3" ht="12.75" customHeight="1">
      <c r="A185" t="s">
        <v>76</v>
      </c>
      <c r="B185" t="s">
        <v>135</v>
      </c>
      <c r="C185" t="s">
        <v>135</v>
      </c>
    </row>
    <row r="186" spans="1:3" ht="12.75" customHeight="1">
      <c r="A186" t="s">
        <v>76</v>
      </c>
      <c r="B186" t="s">
        <v>138</v>
      </c>
      <c r="C186" t="s">
        <v>138</v>
      </c>
    </row>
    <row r="187" spans="1:3" ht="12.75" customHeight="1">
      <c r="A187" t="s">
        <v>76</v>
      </c>
      <c r="B187" t="s">
        <v>140</v>
      </c>
      <c r="C187" t="s">
        <v>217</v>
      </c>
    </row>
    <row r="188" spans="1:3" ht="12.75" customHeight="1">
      <c r="A188" t="s">
        <v>76</v>
      </c>
      <c r="B188" t="s">
        <v>142</v>
      </c>
      <c r="C188" t="s">
        <v>142</v>
      </c>
    </row>
    <row r="189" spans="1:3" ht="12.75" customHeight="1">
      <c r="A189" t="s">
        <v>76</v>
      </c>
      <c r="C189" t="s">
        <v>218</v>
      </c>
    </row>
    <row r="190" spans="1:3" ht="12.75" customHeight="1">
      <c r="A190" t="s">
        <v>76</v>
      </c>
      <c r="B190" t="s">
        <v>145</v>
      </c>
      <c r="C190" t="s">
        <v>145</v>
      </c>
    </row>
    <row r="191" spans="1:3" ht="12.75" customHeight="1">
      <c r="A191" t="s">
        <v>76</v>
      </c>
      <c r="B191" t="s">
        <v>148</v>
      </c>
      <c r="C191" t="s">
        <v>148</v>
      </c>
    </row>
    <row r="192" spans="1:3" ht="12.75" customHeight="1">
      <c r="A192" t="s">
        <v>76</v>
      </c>
      <c r="B192" t="s">
        <v>151</v>
      </c>
      <c r="C192" t="s">
        <v>151</v>
      </c>
    </row>
    <row r="193" spans="1:3" ht="12.75" customHeight="1">
      <c r="A193" t="s">
        <v>76</v>
      </c>
      <c r="B193" t="s">
        <v>154</v>
      </c>
      <c r="C193" t="s">
        <v>154</v>
      </c>
    </row>
    <row r="194" spans="1:3" ht="12.75" customHeight="1">
      <c r="A194" t="s">
        <v>76</v>
      </c>
      <c r="B194" t="s">
        <v>158</v>
      </c>
      <c r="C194" t="s">
        <v>219</v>
      </c>
    </row>
    <row r="195" spans="1:3" ht="12.75" customHeight="1">
      <c r="A195" t="s">
        <v>76</v>
      </c>
      <c r="B195" t="s">
        <v>160</v>
      </c>
      <c r="C195" t="s">
        <v>220</v>
      </c>
    </row>
    <row r="196" spans="1:3" ht="12.75" customHeight="1">
      <c r="A196" t="s">
        <v>76</v>
      </c>
      <c r="B196" t="s">
        <v>163</v>
      </c>
      <c r="C196" t="s">
        <v>163</v>
      </c>
    </row>
    <row r="197" spans="1:3" ht="12.75" customHeight="1">
      <c r="A197" t="s">
        <v>76</v>
      </c>
      <c r="B197" t="s">
        <v>166</v>
      </c>
      <c r="C197" t="s">
        <v>166</v>
      </c>
    </row>
    <row r="198" spans="1:3" ht="12.75" customHeight="1">
      <c r="A198" t="s">
        <v>76</v>
      </c>
      <c r="B198" t="s">
        <v>169</v>
      </c>
      <c r="C198" t="s">
        <v>169</v>
      </c>
    </row>
    <row r="199" spans="1:3" ht="12.75" customHeight="1">
      <c r="A199" t="s">
        <v>76</v>
      </c>
      <c r="B199" t="s">
        <v>171</v>
      </c>
      <c r="C199" t="s">
        <v>171</v>
      </c>
    </row>
    <row r="200" spans="1:3" ht="12.75" customHeight="1">
      <c r="A200" t="s">
        <v>76</v>
      </c>
      <c r="B200" t="s">
        <v>173</v>
      </c>
      <c r="C200" t="s">
        <v>173</v>
      </c>
    </row>
    <row r="201" spans="1:3" ht="12.75" customHeight="1">
      <c r="A201" t="s">
        <v>76</v>
      </c>
      <c r="B201" t="s">
        <v>175</v>
      </c>
      <c r="C201" t="s">
        <v>211</v>
      </c>
    </row>
    <row r="202" spans="1:3" ht="12.75" customHeight="1">
      <c r="A202" t="s">
        <v>76</v>
      </c>
      <c r="B202" t="s">
        <v>180</v>
      </c>
      <c r="C202" t="s">
        <v>180</v>
      </c>
    </row>
    <row r="203" spans="1:3" ht="12.75" customHeight="1">
      <c r="A203" t="s">
        <v>76</v>
      </c>
      <c r="B203" t="s">
        <v>182</v>
      </c>
      <c r="C203" t="s">
        <v>182</v>
      </c>
    </row>
    <row r="204" spans="1:3" ht="12.75" customHeight="1">
      <c r="A204" t="s">
        <v>76</v>
      </c>
      <c r="B204" t="s">
        <v>184</v>
      </c>
      <c r="C204" t="s">
        <v>184</v>
      </c>
    </row>
    <row r="205" spans="1:3" ht="12.75" customHeight="1">
      <c r="A205" t="s">
        <v>76</v>
      </c>
      <c r="B205" t="s">
        <v>186</v>
      </c>
      <c r="C205" t="s">
        <v>221</v>
      </c>
    </row>
    <row r="206" spans="1:3" ht="12.75" customHeight="1">
      <c r="A206" t="s">
        <v>76</v>
      </c>
      <c r="B206" t="s">
        <v>75</v>
      </c>
    </row>
    <row r="207" spans="1:3" ht="12.75" customHeight="1">
      <c r="B207" t="s">
        <v>187</v>
      </c>
    </row>
  </sheetData>
  <hyperlinks>
    <hyperlink ref="G42" r:id="rId1" xr:uid="{2F1EB021-4794-48C2-9308-7B51DF71BD47}"/>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35C2E-03DC-477C-B69B-BF4D1F769C51}">
  <sheetPr>
    <tabColor rgb="FFD9F2EC"/>
  </sheetPr>
  <dimension ref="A1:F113"/>
  <sheetViews>
    <sheetView topLeftCell="B1" workbookViewId="0">
      <selection activeCell="B2" sqref="B2"/>
    </sheetView>
  </sheetViews>
  <sheetFormatPr defaultColWidth="8.5546875" defaultRowHeight="13.2"/>
  <cols>
    <col min="1" max="1" width="17.44140625" customWidth="1"/>
    <col min="2" max="2" width="20.5546875" customWidth="1"/>
    <col min="3" max="3" width="38.109375" customWidth="1"/>
    <col min="4" max="4" width="18.5546875" bestFit="1" customWidth="1"/>
    <col min="5" max="5" width="20.44140625" customWidth="1"/>
    <col min="6" max="6" width="21.44140625" bestFit="1" customWidth="1"/>
    <col min="8" max="8" width="14.44140625" customWidth="1"/>
    <col min="9" max="9" width="17.44140625" customWidth="1"/>
    <col min="10" max="10" width="36.44140625" customWidth="1"/>
    <col min="11" max="11" width="24.5546875" customWidth="1"/>
    <col min="12" max="13" width="14.44140625" customWidth="1"/>
    <col min="14" max="14" width="21.5546875" bestFit="1" customWidth="1"/>
  </cols>
  <sheetData>
    <row r="1" spans="1:6" s="62" customFormat="1">
      <c r="A1" s="62" t="s">
        <v>223</v>
      </c>
      <c r="B1" s="62" t="s">
        <v>70</v>
      </c>
      <c r="C1" s="62" t="s">
        <v>224</v>
      </c>
      <c r="D1" s="62" t="s">
        <v>7</v>
      </c>
      <c r="E1" s="62" t="s">
        <v>74</v>
      </c>
      <c r="F1" s="62" t="s">
        <v>75</v>
      </c>
    </row>
    <row r="2" spans="1:6">
      <c r="A2" t="s">
        <v>76</v>
      </c>
      <c r="B2" t="s">
        <v>225</v>
      </c>
      <c r="C2" t="s">
        <v>226</v>
      </c>
    </row>
    <row r="3" spans="1:6">
      <c r="A3" t="s">
        <v>76</v>
      </c>
      <c r="B3" t="s">
        <v>225</v>
      </c>
      <c r="C3" t="s">
        <v>227</v>
      </c>
    </row>
    <row r="4" spans="1:6">
      <c r="A4" t="s">
        <v>76</v>
      </c>
      <c r="B4" t="s">
        <v>225</v>
      </c>
      <c r="C4" t="s">
        <v>228</v>
      </c>
    </row>
    <row r="5" spans="1:6">
      <c r="A5" t="s">
        <v>76</v>
      </c>
      <c r="B5" t="s">
        <v>225</v>
      </c>
      <c r="C5" t="s">
        <v>229</v>
      </c>
    </row>
    <row r="6" spans="1:6">
      <c r="A6" t="s">
        <v>76</v>
      </c>
      <c r="B6" t="s">
        <v>225</v>
      </c>
      <c r="C6" t="s">
        <v>230</v>
      </c>
    </row>
    <row r="7" spans="1:6">
      <c r="A7" t="s">
        <v>76</v>
      </c>
      <c r="B7" t="s">
        <v>225</v>
      </c>
      <c r="C7" t="s">
        <v>231</v>
      </c>
    </row>
    <row r="8" spans="1:6">
      <c r="A8" t="s">
        <v>76</v>
      </c>
      <c r="B8" t="s">
        <v>225</v>
      </c>
      <c r="C8" t="s">
        <v>232</v>
      </c>
    </row>
    <row r="9" spans="1:6">
      <c r="A9" t="s">
        <v>76</v>
      </c>
      <c r="B9" t="s">
        <v>225</v>
      </c>
      <c r="C9" t="s">
        <v>233</v>
      </c>
    </row>
    <row r="10" spans="1:6">
      <c r="A10" t="s">
        <v>76</v>
      </c>
      <c r="B10" t="s">
        <v>225</v>
      </c>
      <c r="C10" t="s">
        <v>234</v>
      </c>
    </row>
    <row r="11" spans="1:6">
      <c r="A11" t="s">
        <v>76</v>
      </c>
      <c r="B11" t="s">
        <v>225</v>
      </c>
      <c r="C11" t="s">
        <v>235</v>
      </c>
    </row>
    <row r="12" spans="1:6">
      <c r="A12" t="s">
        <v>76</v>
      </c>
      <c r="B12" t="s">
        <v>225</v>
      </c>
      <c r="C12" t="s">
        <v>236</v>
      </c>
    </row>
    <row r="13" spans="1:6">
      <c r="A13" t="s">
        <v>76</v>
      </c>
      <c r="B13" t="s">
        <v>225</v>
      </c>
      <c r="C13" t="s">
        <v>237</v>
      </c>
    </row>
    <row r="14" spans="1:6">
      <c r="A14" t="s">
        <v>76</v>
      </c>
      <c r="B14" t="s">
        <v>225</v>
      </c>
      <c r="C14" t="s">
        <v>238</v>
      </c>
    </row>
    <row r="15" spans="1:6">
      <c r="A15" t="s">
        <v>76</v>
      </c>
      <c r="B15" t="s">
        <v>225</v>
      </c>
      <c r="C15" t="s">
        <v>239</v>
      </c>
    </row>
    <row r="16" spans="1:6">
      <c r="A16" t="s">
        <v>76</v>
      </c>
      <c r="B16" t="s">
        <v>225</v>
      </c>
      <c r="C16" t="s">
        <v>240</v>
      </c>
    </row>
    <row r="17" spans="1:3">
      <c r="A17" t="s">
        <v>76</v>
      </c>
      <c r="B17" t="s">
        <v>225</v>
      </c>
      <c r="C17" t="s">
        <v>241</v>
      </c>
    </row>
    <row r="18" spans="1:3">
      <c r="A18" t="s">
        <v>76</v>
      </c>
      <c r="B18" t="s">
        <v>225</v>
      </c>
      <c r="C18" t="s">
        <v>242</v>
      </c>
    </row>
    <row r="19" spans="1:3">
      <c r="A19" t="s">
        <v>76</v>
      </c>
      <c r="B19" t="s">
        <v>225</v>
      </c>
      <c r="C19" t="s">
        <v>243</v>
      </c>
    </row>
    <row r="20" spans="1:3">
      <c r="A20" t="s">
        <v>76</v>
      </c>
      <c r="B20" t="s">
        <v>225</v>
      </c>
      <c r="C20" t="s">
        <v>244</v>
      </c>
    </row>
    <row r="21" spans="1:3">
      <c r="A21" t="s">
        <v>76</v>
      </c>
      <c r="B21" t="s">
        <v>225</v>
      </c>
      <c r="C21" t="s">
        <v>245</v>
      </c>
    </row>
    <row r="22" spans="1:3">
      <c r="A22" t="s">
        <v>76</v>
      </c>
      <c r="B22" t="s">
        <v>225</v>
      </c>
      <c r="C22" t="s">
        <v>246</v>
      </c>
    </row>
    <row r="23" spans="1:3">
      <c r="A23" t="s">
        <v>76</v>
      </c>
      <c r="B23" t="s">
        <v>225</v>
      </c>
      <c r="C23" t="s">
        <v>247</v>
      </c>
    </row>
    <row r="24" spans="1:3">
      <c r="A24" t="s">
        <v>76</v>
      </c>
      <c r="B24" t="s">
        <v>225</v>
      </c>
      <c r="C24" t="s">
        <v>248</v>
      </c>
    </row>
    <row r="25" spans="1:3">
      <c r="A25" t="s">
        <v>76</v>
      </c>
      <c r="B25" t="s">
        <v>225</v>
      </c>
      <c r="C25" t="s">
        <v>249</v>
      </c>
    </row>
    <row r="26" spans="1:3">
      <c r="A26" t="s">
        <v>76</v>
      </c>
      <c r="B26" t="s">
        <v>225</v>
      </c>
      <c r="C26" t="s">
        <v>250</v>
      </c>
    </row>
    <row r="27" spans="1:3">
      <c r="A27" t="s">
        <v>76</v>
      </c>
      <c r="B27" t="s">
        <v>225</v>
      </c>
      <c r="C27" t="s">
        <v>251</v>
      </c>
    </row>
    <row r="28" spans="1:3">
      <c r="A28" t="s">
        <v>76</v>
      </c>
      <c r="B28" t="s">
        <v>225</v>
      </c>
      <c r="C28" t="s">
        <v>252</v>
      </c>
    </row>
    <row r="29" spans="1:3">
      <c r="A29" t="s">
        <v>76</v>
      </c>
      <c r="B29" t="s">
        <v>253</v>
      </c>
      <c r="C29" t="s">
        <v>254</v>
      </c>
    </row>
    <row r="30" spans="1:3">
      <c r="A30" t="s">
        <v>76</v>
      </c>
      <c r="B30" t="s">
        <v>253</v>
      </c>
      <c r="C30" t="s">
        <v>255</v>
      </c>
    </row>
    <row r="31" spans="1:3">
      <c r="A31" t="s">
        <v>76</v>
      </c>
      <c r="B31" t="s">
        <v>253</v>
      </c>
      <c r="C31" t="s">
        <v>256</v>
      </c>
    </row>
    <row r="32" spans="1:3">
      <c r="A32" t="s">
        <v>76</v>
      </c>
      <c r="B32" t="s">
        <v>253</v>
      </c>
      <c r="C32" t="s">
        <v>257</v>
      </c>
    </row>
    <row r="33" spans="1:3">
      <c r="A33" t="s">
        <v>76</v>
      </c>
      <c r="B33" t="s">
        <v>253</v>
      </c>
      <c r="C33" t="s">
        <v>227</v>
      </c>
    </row>
    <row r="34" spans="1:3">
      <c r="A34" t="s">
        <v>76</v>
      </c>
      <c r="B34" t="s">
        <v>253</v>
      </c>
      <c r="C34" t="s">
        <v>228</v>
      </c>
    </row>
    <row r="35" spans="1:3">
      <c r="A35" t="s">
        <v>76</v>
      </c>
      <c r="B35" t="s">
        <v>253</v>
      </c>
      <c r="C35" t="s">
        <v>258</v>
      </c>
    </row>
    <row r="36" spans="1:3">
      <c r="A36" t="s">
        <v>76</v>
      </c>
      <c r="B36" t="s">
        <v>253</v>
      </c>
      <c r="C36" t="s">
        <v>259</v>
      </c>
    </row>
    <row r="37" spans="1:3">
      <c r="A37" t="s">
        <v>76</v>
      </c>
      <c r="B37" t="s">
        <v>253</v>
      </c>
      <c r="C37" t="s">
        <v>241</v>
      </c>
    </row>
    <row r="38" spans="1:3">
      <c r="A38" t="s">
        <v>76</v>
      </c>
      <c r="B38" t="s">
        <v>253</v>
      </c>
      <c r="C38" t="s">
        <v>260</v>
      </c>
    </row>
    <row r="39" spans="1:3">
      <c r="A39" t="s">
        <v>76</v>
      </c>
      <c r="B39" t="s">
        <v>253</v>
      </c>
      <c r="C39" t="s">
        <v>261</v>
      </c>
    </row>
    <row r="40" spans="1:3">
      <c r="A40" t="s">
        <v>76</v>
      </c>
      <c r="B40" t="s">
        <v>253</v>
      </c>
      <c r="C40" t="s">
        <v>262</v>
      </c>
    </row>
    <row r="41" spans="1:3">
      <c r="A41" t="s">
        <v>76</v>
      </c>
      <c r="B41" t="s">
        <v>253</v>
      </c>
      <c r="C41" t="s">
        <v>263</v>
      </c>
    </row>
    <row r="42" spans="1:3">
      <c r="A42" t="s">
        <v>76</v>
      </c>
      <c r="B42" t="s">
        <v>253</v>
      </c>
      <c r="C42" t="s">
        <v>264</v>
      </c>
    </row>
    <row r="43" spans="1:3">
      <c r="A43" t="s">
        <v>76</v>
      </c>
      <c r="B43" t="s">
        <v>253</v>
      </c>
      <c r="C43" t="s">
        <v>265</v>
      </c>
    </row>
    <row r="44" spans="1:3">
      <c r="A44" t="s">
        <v>76</v>
      </c>
      <c r="B44" t="s">
        <v>253</v>
      </c>
      <c r="C44" t="s">
        <v>266</v>
      </c>
    </row>
    <row r="45" spans="1:3">
      <c r="A45" t="s">
        <v>76</v>
      </c>
      <c r="B45" t="s">
        <v>253</v>
      </c>
      <c r="C45" t="s">
        <v>267</v>
      </c>
    </row>
    <row r="46" spans="1:3">
      <c r="A46" t="s">
        <v>76</v>
      </c>
      <c r="B46" t="s">
        <v>268</v>
      </c>
      <c r="C46" t="s">
        <v>269</v>
      </c>
    </row>
    <row r="47" spans="1:3">
      <c r="A47" t="s">
        <v>76</v>
      </c>
      <c r="B47" t="s">
        <v>268</v>
      </c>
      <c r="C47" t="s">
        <v>270</v>
      </c>
    </row>
    <row r="48" spans="1:3">
      <c r="A48" t="s">
        <v>76</v>
      </c>
      <c r="B48" t="s">
        <v>268</v>
      </c>
      <c r="C48" t="s">
        <v>229</v>
      </c>
    </row>
    <row r="49" spans="1:3">
      <c r="A49" t="s">
        <v>76</v>
      </c>
      <c r="B49" t="s">
        <v>268</v>
      </c>
      <c r="C49" t="s">
        <v>271</v>
      </c>
    </row>
    <row r="50" spans="1:3">
      <c r="A50" t="s">
        <v>76</v>
      </c>
      <c r="B50" t="s">
        <v>268</v>
      </c>
      <c r="C50" t="s">
        <v>232</v>
      </c>
    </row>
    <row r="51" spans="1:3">
      <c r="A51" t="s">
        <v>76</v>
      </c>
      <c r="B51" t="s">
        <v>268</v>
      </c>
      <c r="C51" t="s">
        <v>272</v>
      </c>
    </row>
    <row r="52" spans="1:3">
      <c r="A52" t="s">
        <v>76</v>
      </c>
      <c r="B52" t="s">
        <v>268</v>
      </c>
      <c r="C52" t="s">
        <v>273</v>
      </c>
    </row>
    <row r="53" spans="1:3">
      <c r="A53" t="s">
        <v>76</v>
      </c>
      <c r="B53" t="s">
        <v>268</v>
      </c>
      <c r="C53" t="s">
        <v>274</v>
      </c>
    </row>
    <row r="54" spans="1:3">
      <c r="A54" t="s">
        <v>76</v>
      </c>
      <c r="B54" t="s">
        <v>268</v>
      </c>
      <c r="C54" t="s">
        <v>275</v>
      </c>
    </row>
    <row r="55" spans="1:3">
      <c r="A55" t="s">
        <v>76</v>
      </c>
      <c r="B55" t="s">
        <v>268</v>
      </c>
      <c r="C55" t="s">
        <v>241</v>
      </c>
    </row>
    <row r="56" spans="1:3">
      <c r="A56" t="s">
        <v>76</v>
      </c>
      <c r="B56" t="s">
        <v>268</v>
      </c>
      <c r="C56" t="s">
        <v>276</v>
      </c>
    </row>
    <row r="57" spans="1:3">
      <c r="A57" t="s">
        <v>76</v>
      </c>
      <c r="B57" t="s">
        <v>268</v>
      </c>
      <c r="C57" t="s">
        <v>260</v>
      </c>
    </row>
    <row r="58" spans="1:3">
      <c r="A58" t="s">
        <v>76</v>
      </c>
      <c r="B58" t="s">
        <v>268</v>
      </c>
      <c r="C58" t="s">
        <v>277</v>
      </c>
    </row>
    <row r="59" spans="1:3">
      <c r="A59" t="s">
        <v>76</v>
      </c>
      <c r="B59" t="s">
        <v>268</v>
      </c>
      <c r="C59" t="s">
        <v>278</v>
      </c>
    </row>
    <row r="60" spans="1:3">
      <c r="A60" t="s">
        <v>76</v>
      </c>
      <c r="B60" t="s">
        <v>268</v>
      </c>
      <c r="C60" t="s">
        <v>279</v>
      </c>
    </row>
    <row r="61" spans="1:3">
      <c r="A61" t="s">
        <v>76</v>
      </c>
      <c r="B61" t="s">
        <v>268</v>
      </c>
      <c r="C61" t="s">
        <v>280</v>
      </c>
    </row>
    <row r="62" spans="1:3">
      <c r="A62" t="s">
        <v>76</v>
      </c>
      <c r="B62" t="s">
        <v>268</v>
      </c>
      <c r="C62" t="s">
        <v>281</v>
      </c>
    </row>
    <row r="63" spans="1:3">
      <c r="A63" t="s">
        <v>76</v>
      </c>
      <c r="B63" t="s">
        <v>268</v>
      </c>
      <c r="C63" t="s">
        <v>282</v>
      </c>
    </row>
    <row r="64" spans="1:3">
      <c r="A64" t="s">
        <v>76</v>
      </c>
      <c r="B64" t="s">
        <v>268</v>
      </c>
      <c r="C64" t="s">
        <v>213</v>
      </c>
    </row>
    <row r="65" spans="1:3">
      <c r="A65" t="s">
        <v>76</v>
      </c>
      <c r="B65" t="s">
        <v>268</v>
      </c>
      <c r="C65" t="s">
        <v>283</v>
      </c>
    </row>
    <row r="66" spans="1:3">
      <c r="A66" t="s">
        <v>76</v>
      </c>
      <c r="B66" t="s">
        <v>268</v>
      </c>
      <c r="C66" t="s">
        <v>284</v>
      </c>
    </row>
    <row r="67" spans="1:3">
      <c r="A67" t="s">
        <v>76</v>
      </c>
      <c r="B67" t="s">
        <v>268</v>
      </c>
      <c r="C67" t="s">
        <v>285</v>
      </c>
    </row>
    <row r="68" spans="1:3">
      <c r="A68" t="s">
        <v>76</v>
      </c>
      <c r="B68" t="s">
        <v>286</v>
      </c>
      <c r="C68" t="s">
        <v>287</v>
      </c>
    </row>
    <row r="69" spans="1:3">
      <c r="A69" t="s">
        <v>76</v>
      </c>
      <c r="B69" t="s">
        <v>286</v>
      </c>
      <c r="C69" t="s">
        <v>288</v>
      </c>
    </row>
    <row r="70" spans="1:3">
      <c r="A70" t="s">
        <v>76</v>
      </c>
      <c r="B70" t="s">
        <v>286</v>
      </c>
      <c r="C70" t="s">
        <v>289</v>
      </c>
    </row>
    <row r="71" spans="1:3">
      <c r="A71" t="s">
        <v>76</v>
      </c>
      <c r="B71" t="s">
        <v>286</v>
      </c>
      <c r="C71" t="s">
        <v>290</v>
      </c>
    </row>
    <row r="72" spans="1:3">
      <c r="A72" t="s">
        <v>76</v>
      </c>
      <c r="B72" t="s">
        <v>286</v>
      </c>
      <c r="C72" t="s">
        <v>291</v>
      </c>
    </row>
    <row r="73" spans="1:3">
      <c r="A73" t="s">
        <v>76</v>
      </c>
      <c r="B73" t="s">
        <v>286</v>
      </c>
      <c r="C73" t="s">
        <v>292</v>
      </c>
    </row>
    <row r="74" spans="1:3">
      <c r="A74" t="s">
        <v>76</v>
      </c>
      <c r="B74" t="s">
        <v>286</v>
      </c>
      <c r="C74" t="s">
        <v>293</v>
      </c>
    </row>
    <row r="75" spans="1:3">
      <c r="A75" t="s">
        <v>76</v>
      </c>
      <c r="B75" t="s">
        <v>286</v>
      </c>
      <c r="C75" t="s">
        <v>294</v>
      </c>
    </row>
    <row r="76" spans="1:3">
      <c r="A76" t="s">
        <v>76</v>
      </c>
      <c r="B76" t="s">
        <v>286</v>
      </c>
      <c r="C76" t="s">
        <v>262</v>
      </c>
    </row>
    <row r="77" spans="1:3">
      <c r="A77" t="s">
        <v>76</v>
      </c>
      <c r="B77" t="s">
        <v>286</v>
      </c>
      <c r="C77" t="s">
        <v>295</v>
      </c>
    </row>
    <row r="78" spans="1:3">
      <c r="A78" t="s">
        <v>76</v>
      </c>
      <c r="B78" t="s">
        <v>286</v>
      </c>
      <c r="C78" t="s">
        <v>296</v>
      </c>
    </row>
    <row r="79" spans="1:3">
      <c r="A79" t="s">
        <v>76</v>
      </c>
      <c r="B79" t="s">
        <v>286</v>
      </c>
      <c r="C79" t="s">
        <v>297</v>
      </c>
    </row>
    <row r="80" spans="1:3">
      <c r="A80" t="s">
        <v>76</v>
      </c>
      <c r="B80" t="s">
        <v>286</v>
      </c>
      <c r="C80" t="s">
        <v>298</v>
      </c>
    </row>
    <row r="81" spans="1:3">
      <c r="A81" t="s">
        <v>76</v>
      </c>
      <c r="B81" t="s">
        <v>286</v>
      </c>
      <c r="C81" t="s">
        <v>266</v>
      </c>
    </row>
    <row r="82" spans="1:3">
      <c r="A82" t="s">
        <v>76</v>
      </c>
      <c r="B82" t="s">
        <v>286</v>
      </c>
      <c r="C82" t="s">
        <v>267</v>
      </c>
    </row>
    <row r="83" spans="1:3">
      <c r="A83" t="s">
        <v>76</v>
      </c>
      <c r="B83" t="s">
        <v>286</v>
      </c>
      <c r="C83" t="s">
        <v>299</v>
      </c>
    </row>
    <row r="84" spans="1:3">
      <c r="A84" t="s">
        <v>76</v>
      </c>
      <c r="B84" t="s">
        <v>286</v>
      </c>
      <c r="C84" t="s">
        <v>285</v>
      </c>
    </row>
    <row r="85" spans="1:3">
      <c r="A85" t="s">
        <v>76</v>
      </c>
      <c r="B85" t="s">
        <v>286</v>
      </c>
      <c r="C85" t="s">
        <v>300</v>
      </c>
    </row>
    <row r="86" spans="1:3">
      <c r="A86" t="s">
        <v>76</v>
      </c>
      <c r="B86" t="s">
        <v>286</v>
      </c>
      <c r="C86" t="s">
        <v>301</v>
      </c>
    </row>
    <row r="87" spans="1:3">
      <c r="A87" t="s">
        <v>76</v>
      </c>
      <c r="B87" t="s">
        <v>286</v>
      </c>
      <c r="C87" t="s">
        <v>302</v>
      </c>
    </row>
    <row r="88" spans="1:3">
      <c r="A88" t="s">
        <v>76</v>
      </c>
      <c r="B88" t="s">
        <v>303</v>
      </c>
      <c r="C88" t="s">
        <v>304</v>
      </c>
    </row>
    <row r="89" spans="1:3">
      <c r="A89" t="s">
        <v>76</v>
      </c>
      <c r="B89" t="s">
        <v>303</v>
      </c>
      <c r="C89" t="s">
        <v>305</v>
      </c>
    </row>
    <row r="90" spans="1:3">
      <c r="A90" t="s">
        <v>76</v>
      </c>
      <c r="B90" t="s">
        <v>306</v>
      </c>
      <c r="C90" t="s">
        <v>307</v>
      </c>
    </row>
    <row r="91" spans="1:3">
      <c r="A91" t="s">
        <v>76</v>
      </c>
      <c r="B91" t="s">
        <v>306</v>
      </c>
      <c r="C91" t="s">
        <v>308</v>
      </c>
    </row>
    <row r="92" spans="1:3">
      <c r="A92" t="s">
        <v>76</v>
      </c>
      <c r="B92" t="s">
        <v>306</v>
      </c>
      <c r="C92" t="s">
        <v>309</v>
      </c>
    </row>
    <row r="93" spans="1:3">
      <c r="A93" t="s">
        <v>76</v>
      </c>
      <c r="B93" t="s">
        <v>310</v>
      </c>
      <c r="C93" t="s">
        <v>311</v>
      </c>
    </row>
    <row r="94" spans="1:3">
      <c r="A94" t="s">
        <v>76</v>
      </c>
      <c r="B94" t="s">
        <v>310</v>
      </c>
      <c r="C94" t="s">
        <v>312</v>
      </c>
    </row>
    <row r="95" spans="1:3">
      <c r="A95" t="s">
        <v>76</v>
      </c>
      <c r="B95" t="s">
        <v>310</v>
      </c>
      <c r="C95" t="s">
        <v>313</v>
      </c>
    </row>
    <row r="96" spans="1:3">
      <c r="A96" t="s">
        <v>76</v>
      </c>
      <c r="B96" t="s">
        <v>310</v>
      </c>
      <c r="C96" t="s">
        <v>314</v>
      </c>
    </row>
    <row r="97" spans="1:6">
      <c r="A97" t="s">
        <v>76</v>
      </c>
      <c r="B97" t="s">
        <v>315</v>
      </c>
      <c r="C97" t="s">
        <v>316</v>
      </c>
      <c r="F97" t="s">
        <v>317</v>
      </c>
    </row>
    <row r="98" spans="1:6">
      <c r="A98" t="s">
        <v>76</v>
      </c>
      <c r="B98" t="s">
        <v>315</v>
      </c>
      <c r="C98" t="s">
        <v>318</v>
      </c>
      <c r="F98" t="s">
        <v>317</v>
      </c>
    </row>
    <row r="99" spans="1:6">
      <c r="A99" t="s">
        <v>76</v>
      </c>
      <c r="B99" t="s">
        <v>315</v>
      </c>
      <c r="C99" t="s">
        <v>319</v>
      </c>
      <c r="F99" t="s">
        <v>317</v>
      </c>
    </row>
    <row r="100" spans="1:6">
      <c r="A100" t="s">
        <v>76</v>
      </c>
    </row>
    <row r="101" spans="1:6">
      <c r="A101" t="s">
        <v>76</v>
      </c>
    </row>
    <row r="102" spans="1:6">
      <c r="A102" t="s">
        <v>76</v>
      </c>
    </row>
    <row r="103" spans="1:6">
      <c r="A103" t="s">
        <v>76</v>
      </c>
    </row>
    <row r="104" spans="1:6">
      <c r="A104" t="s">
        <v>76</v>
      </c>
    </row>
    <row r="105" spans="1:6">
      <c r="A105" t="s">
        <v>76</v>
      </c>
    </row>
    <row r="106" spans="1:6">
      <c r="A106" t="s">
        <v>76</v>
      </c>
    </row>
    <row r="107" spans="1:6">
      <c r="A107" t="s">
        <v>76</v>
      </c>
    </row>
    <row r="108" spans="1:6">
      <c r="A108" t="s">
        <v>76</v>
      </c>
    </row>
    <row r="109" spans="1:6">
      <c r="A109" t="s">
        <v>76</v>
      </c>
    </row>
    <row r="110" spans="1:6">
      <c r="A110" t="s">
        <v>76</v>
      </c>
    </row>
    <row r="111" spans="1:6">
      <c r="A111" t="s">
        <v>76</v>
      </c>
    </row>
    <row r="112" spans="1:6">
      <c r="A112" t="s">
        <v>76</v>
      </c>
    </row>
    <row r="113" spans="1:1">
      <c r="A113" t="s">
        <v>76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6C52B-28C5-4A79-8578-38FC6263A58F}">
  <dimension ref="A1:K32"/>
  <sheetViews>
    <sheetView workbookViewId="0"/>
  </sheetViews>
  <sheetFormatPr defaultColWidth="8.5546875" defaultRowHeight="13.2"/>
  <cols>
    <col min="1" max="1" width="18" style="82" bestFit="1" customWidth="1"/>
    <col min="2" max="2" width="30.44140625" bestFit="1" customWidth="1"/>
    <col min="3" max="3" width="15.44140625" bestFit="1" customWidth="1"/>
    <col min="4" max="4" width="14.44140625" bestFit="1" customWidth="1"/>
    <col min="5" max="5" width="14.44140625" customWidth="1"/>
    <col min="6" max="6" width="10.44140625" bestFit="1" customWidth="1"/>
    <col min="7" max="7" width="9.44140625" bestFit="1" customWidth="1"/>
    <col min="8" max="8" width="10.44140625" customWidth="1"/>
    <col min="9" max="9" width="11" customWidth="1"/>
    <col min="10" max="10" width="19.44140625" bestFit="1" customWidth="1"/>
    <col min="11" max="11" width="22" bestFit="1" customWidth="1"/>
  </cols>
  <sheetData>
    <row r="1" spans="1:11" s="62" customFormat="1">
      <c r="A1" s="79" t="s">
        <v>223</v>
      </c>
      <c r="B1" s="78" t="s">
        <v>76</v>
      </c>
      <c r="C1" s="78" t="s">
        <v>76</v>
      </c>
      <c r="D1" s="78" t="s">
        <v>76</v>
      </c>
      <c r="E1" s="78" t="s">
        <v>76</v>
      </c>
      <c r="F1" s="78" t="s">
        <v>76</v>
      </c>
      <c r="G1" s="78" t="s">
        <v>76</v>
      </c>
      <c r="H1" s="78" t="s">
        <v>76</v>
      </c>
      <c r="I1" s="78" t="s">
        <v>76</v>
      </c>
      <c r="J1" s="78" t="s">
        <v>76</v>
      </c>
      <c r="K1" s="78" t="s">
        <v>76</v>
      </c>
    </row>
    <row r="2" spans="1:11" s="75" customFormat="1" ht="26.4">
      <c r="A2" s="80" t="s">
        <v>70</v>
      </c>
      <c r="B2" s="75" t="str">
        <f>ConvTech!I4</f>
        <v>process_type</v>
      </c>
      <c r="C2" s="75" t="str">
        <f>ConvTech!L4</f>
        <v>main_sector</v>
      </c>
      <c r="D2" s="75" t="str">
        <f>ConvTech!M4</f>
        <v>main_category</v>
      </c>
      <c r="E2" s="75" t="str">
        <f>ConvTech!N4</f>
        <v>category_spec</v>
      </c>
      <c r="F2" s="75" t="str">
        <f>ConvTech!O4</f>
        <v>tech_type</v>
      </c>
      <c r="G2" s="75" t="str">
        <f>ConvTech!R4</f>
        <v>Cost Base</v>
      </c>
      <c r="H2" s="75" t="str">
        <f>ConvTech!S4</f>
        <v>Currency</v>
      </c>
      <c r="I2" s="75" t="str">
        <f>ConvTech!V4</f>
        <v>tech_maturity</v>
      </c>
      <c r="J2" s="75" t="str">
        <f>ConvTech!W4</f>
        <v>tech_boundary</v>
      </c>
      <c r="K2" s="75" t="str">
        <f>ConvTech!BE4</f>
        <v>lca_scenario</v>
      </c>
    </row>
    <row r="3" spans="1:11" s="76" customFormat="1">
      <c r="A3" s="81" t="s">
        <v>320</v>
      </c>
      <c r="B3" s="77">
        <f>COUNTA(B5:B1000)</f>
        <v>28</v>
      </c>
      <c r="C3" s="77">
        <f t="shared" ref="C3:K3" si="0">COUNTA(C5:C1000)</f>
        <v>17</v>
      </c>
      <c r="D3" s="77">
        <f t="shared" si="0"/>
        <v>22</v>
      </c>
      <c r="E3" s="77">
        <f t="shared" si="0"/>
        <v>19</v>
      </c>
      <c r="F3" s="77">
        <f t="shared" si="0"/>
        <v>2</v>
      </c>
      <c r="G3" s="77">
        <f t="shared" si="0"/>
        <v>2</v>
      </c>
      <c r="H3" s="77">
        <f t="shared" si="0"/>
        <v>2</v>
      </c>
      <c r="I3" s="77">
        <f t="shared" si="0"/>
        <v>3</v>
      </c>
      <c r="J3" s="77">
        <f t="shared" si="0"/>
        <v>3</v>
      </c>
      <c r="K3" s="77">
        <f t="shared" si="0"/>
        <v>5</v>
      </c>
    </row>
    <row r="4" spans="1:11" s="62" customFormat="1">
      <c r="A4" s="79"/>
      <c r="B4"/>
      <c r="C4"/>
      <c r="D4"/>
      <c r="E4"/>
      <c r="F4"/>
      <c r="G4"/>
      <c r="H4"/>
      <c r="I4"/>
      <c r="J4"/>
      <c r="K4"/>
    </row>
    <row r="5" spans="1:11">
      <c r="A5" s="79" t="s">
        <v>321</v>
      </c>
      <c r="B5" t="str" cm="1">
        <f t="array" ref="B5:B32">_xlfn.UNIQUE(_xlfn._xlws.FILTER(ConvTech!I5:I1066, (ConvTech!I5:I1066&lt;&gt;"")*(ConvTech!I5:I1066&lt;&gt;0)*(ConvTech!I5:I1066&lt;&gt;"na")))</f>
        <v>CO2 capture</v>
      </c>
      <c r="C5" t="str" cm="1">
        <f t="array" ref="C5:C21">_xlfn.UNIQUE(_xlfn._xlws.FILTER(ConvTech!L5:L1066, (ConvTech!L5:L1066&lt;&gt;"")*(ConvTech!L5:L1066&lt;&gt;0)*(ConvTech!L5:L1066&lt;&gt;"na")))</f>
        <v>CO2 capture</v>
      </c>
      <c r="D5" t="str" cm="1">
        <f t="array" ref="D5:D26">_xlfn.UNIQUE(_xlfn._xlws.FILTER(ConvTech!M5:M1066, (ConvTech!M5:M1066&lt;&gt;"")*(ConvTech!M5:M1066&lt;&gt;0)*(ConvTech!M5:M1066&lt;&gt;"na")))</f>
        <v>Point source capture</v>
      </c>
      <c r="E5" t="str" cm="1">
        <f t="array" ref="E5:E23">_xlfn.UNIQUE(_xlfn._xlws.FILTER(ConvTech!N5:N1066, (ConvTech!N5:N1066&lt;&gt;"")*(ConvTech!N5:N1066&lt;&gt;0)*(ConvTech!N5:N1066&lt;&gt;"na")))</f>
        <v>Amine washing</v>
      </c>
      <c r="F5" t="str" cm="1">
        <f t="array" ref="F5:F6">_xlfn.UNIQUE(_xlfn._xlws.FILTER(ConvTech!O5:O1066, (ConvTech!O5:O1066&lt;&gt;"")*(ConvTech!O5:O1066&lt;&gt;0)*(ConvTech!O5:O1066&lt;&gt;"na")))</f>
        <v>Conversion</v>
      </c>
      <c r="G5" t="str" cm="1">
        <f t="array" ref="G5:G6">_xlfn.UNIQUE(_xlfn._xlws.FILTER(ConvTech!R5:R1066, (ConvTech!R5:R1066&lt;&gt;"")*(ConvTech!R5:R1066&lt;&gt;0)*(ConvTech!R5:R1066&lt;&gt;"na")))</f>
        <v>CH</v>
      </c>
      <c r="H5" t="str" cm="1">
        <f t="array" ref="H5:H6">_xlfn.UNIQUE(_xlfn._xlws.FILTER(ConvTech!S5:S1066, (ConvTech!S5:S1066&lt;&gt;"")*(ConvTech!S5:S1066&lt;&gt;0)*(ConvTech!S5:S1066&lt;&gt;"na")))</f>
        <v>CHF</v>
      </c>
      <c r="I5" t="str" cm="1">
        <f t="array" ref="I5:I7">_xlfn.UNIQUE(_xlfn._xlws.FILTER(ConvTech!V5:V1066, (ConvTech!V5:V1066&lt;&gt;"")*(ConvTech!V5:V1066&lt;&gt;0)*(ConvTech!V5:V1066&lt;&gt;"na")))</f>
        <v>Mature</v>
      </c>
      <c r="J5" t="str" cm="1">
        <f t="array" ref="J5:J7">_xlfn.UNIQUE(_xlfn._xlws.FILTER(ConvTech!W5:W1066, (ConvTech!W5:W1066&lt;&gt;"")*(ConvTech!W5:W1066&lt;&gt;0)*(ConvTech!W5:W1066&lt;&gt;"na")))</f>
        <v>Plant ready to operate</v>
      </c>
      <c r="K5" t="str" cm="1">
        <f t="array" ref="K5:K9">_xlfn.UNIQUE(_xlfn._xlws.FILTER(ConvTech!BE5:BE1066, (ConvTech!BE5:BE1066&lt;&gt;"")*(ConvTech!BE5:BE1066&lt;&gt;0)*(ConvTech!BE5:BE1066&lt;&gt;"na")))</f>
        <v>SSP2-PkBudg1000_2030</v>
      </c>
    </row>
    <row r="6" spans="1:11">
      <c r="B6" t="str">
        <v>Haberbosch</v>
      </c>
      <c r="C6" t="str">
        <v>Ammonia</v>
      </c>
      <c r="D6" t="str">
        <v>Pyrolysis</v>
      </c>
      <c r="E6" t="str">
        <v>Wet Biomass</v>
      </c>
      <c r="F6" t="str">
        <v>Transport</v>
      </c>
      <c r="G6" t="str">
        <v>CHF</v>
      </c>
      <c r="H6" t="str">
        <v>EUR</v>
      </c>
      <c r="I6" t="str">
        <v>Emerging</v>
      </c>
      <c r="J6" t="str">
        <v>Complete installation</v>
      </c>
      <c r="K6" t="str">
        <v>SSP2-PkBudg1000_2040</v>
      </c>
    </row>
    <row r="7" spans="1:11">
      <c r="B7" t="str">
        <v>Carbon black production</v>
      </c>
      <c r="C7" t="str">
        <v>Carbon Black</v>
      </c>
      <c r="D7" t="str">
        <v>DAC</v>
      </c>
      <c r="E7" t="str">
        <v>Adsorption</v>
      </c>
      <c r="I7" t="str">
        <v>Prototype</v>
      </c>
      <c r="J7" t="b">
        <v>0</v>
      </c>
      <c r="K7" t="str">
        <v>SSP2-PkBudg1000_2050</v>
      </c>
    </row>
    <row r="8" spans="1:11">
      <c r="B8" t="str">
        <v>Gas Turbine</v>
      </c>
      <c r="C8" t="str">
        <v>Carbon Capture</v>
      </c>
      <c r="D8" t="str">
        <v>Digestion</v>
      </c>
      <c r="E8" t="str">
        <v>HPC cycling</v>
      </c>
      <c r="K8" t="str">
        <v>SSP2-PkBudg1000_2025</v>
      </c>
    </row>
    <row r="9" spans="1:11">
      <c r="B9" t="str">
        <v>Heat and Electricity generation</v>
      </c>
      <c r="C9" t="str">
        <v>Methane</v>
      </c>
      <c r="D9" t="str">
        <v>Fuelcell</v>
      </c>
      <c r="E9" t="str">
        <v>Waste</v>
      </c>
      <c r="K9" t="str">
        <v> </v>
      </c>
    </row>
    <row r="10" spans="1:11">
      <c r="B10" t="str">
        <v>Digestion</v>
      </c>
      <c r="C10" t="str">
        <v>Electricity / Hydrogen</v>
      </c>
      <c r="D10" t="str">
        <v>Grid / Hydrogen</v>
      </c>
      <c r="E10" t="str">
        <v>Methane</v>
      </c>
    </row>
    <row r="11" spans="1:11">
      <c r="B11" t="str">
        <v>Electricity production / Hydrogen use</v>
      </c>
      <c r="C11" t="str">
        <v>Thermal</v>
      </c>
      <c r="D11" t="str">
        <v>Building</v>
      </c>
      <c r="E11" t="str">
        <v>CO2 hydrogenation</v>
      </c>
    </row>
    <row r="12" spans="1:11">
      <c r="B12" t="str">
        <v>Gas Boiler</v>
      </c>
      <c r="C12" t="str">
        <v>CO2 transport</v>
      </c>
      <c r="D12" t="str">
        <v>Hydrogenation</v>
      </c>
      <c r="E12" t="str">
        <v>Transmission</v>
      </c>
    </row>
    <row r="13" spans="1:11">
      <c r="B13" t="str">
        <v>Heat generation</v>
      </c>
      <c r="C13" t="str">
        <v>Carbon Monoxide</v>
      </c>
      <c r="D13" t="str">
        <v>Pipeline</v>
      </c>
      <c r="E13" t="str">
        <v>Distribution</v>
      </c>
    </row>
    <row r="14" spans="1:11">
      <c r="B14" t="str">
        <v>Methane synthesis</v>
      </c>
      <c r="C14" t="str">
        <v>Electricity</v>
      </c>
      <c r="D14" t="str">
        <v>NonPipeline</v>
      </c>
      <c r="E14" t="str">
        <v>Thermal</v>
      </c>
    </row>
    <row r="15" spans="1:11">
      <c r="B15" t="str">
        <v>CO2 transport</v>
      </c>
      <c r="C15" t="str">
        <v>Methanol</v>
      </c>
      <c r="D15" t="str">
        <v>Electrochemical</v>
      </c>
      <c r="E15" t="str">
        <v>RWGS</v>
      </c>
    </row>
    <row r="16" spans="1:11">
      <c r="B16" t="str">
        <v>Electrochemical CO2 reduction</v>
      </c>
      <c r="C16" t="str">
        <v>Hydrogen / Electricity</v>
      </c>
      <c r="D16" t="str">
        <v>Grid</v>
      </c>
      <c r="E16" t="str">
        <v>Kerosine</v>
      </c>
    </row>
    <row r="17" spans="2:5">
      <c r="B17" t="str">
        <v>Eletricity Transmission</v>
      </c>
      <c r="C17" t="str">
        <v>Synfuels</v>
      </c>
      <c r="D17" t="str">
        <v>Process</v>
      </c>
      <c r="E17" t="str">
        <v>Gasoline</v>
      </c>
    </row>
    <row r="18" spans="2:5">
      <c r="B18" t="str">
        <v>Thermal Powerplant</v>
      </c>
      <c r="C18" t="str">
        <v>Hydro</v>
      </c>
      <c r="D18" t="str">
        <v>Hydrogen</v>
      </c>
      <c r="E18" t="str">
        <v>Mustrun Turbine</v>
      </c>
    </row>
    <row r="19" spans="2:5">
      <c r="B19" t="str">
        <v>Methanol production</v>
      </c>
      <c r="C19" t="str">
        <v>Syngas</v>
      </c>
      <c r="D19" t="str">
        <v>Thermochemical</v>
      </c>
      <c r="E19" t="str">
        <v>Oil</v>
      </c>
    </row>
    <row r="20" spans="2:5">
      <c r="B20" t="str">
        <v>Reverse water gas shift</v>
      </c>
      <c r="C20" t="str">
        <v>Hydrogen</v>
      </c>
      <c r="D20" t="str">
        <v>Electrolysis</v>
      </c>
      <c r="E20" t="str">
        <v>PV</v>
      </c>
    </row>
    <row r="21" spans="2:5">
      <c r="B21" t="str">
        <v>Hydrogen production / Electricity use</v>
      </c>
      <c r="C21" t="str">
        <v>Cement</v>
      </c>
      <c r="D21" t="str">
        <v>Hydrocarbons</v>
      </c>
      <c r="E21" t="str">
        <v>CO hydrogenation</v>
      </c>
    </row>
    <row r="22" spans="2:5">
      <c r="B22" t="str">
        <v>Fischer Tropsch</v>
      </c>
      <c r="D22" t="str">
        <v>Hydro</v>
      </c>
      <c r="E22" t="str">
        <v>Wind</v>
      </c>
    </row>
    <row r="23" spans="2:5">
      <c r="B23" t="str">
        <v>Thermochemical CO Hydrogenation</v>
      </c>
      <c r="D23" t="str">
        <v>Waste</v>
      </c>
      <c r="E23" t="str">
        <v>Wood</v>
      </c>
    </row>
    <row r="24" spans="2:5">
      <c r="B24" t="str">
        <v>Water turbine</v>
      </c>
      <c r="D24" t="str">
        <v>New Renewable</v>
      </c>
    </row>
    <row r="25" spans="2:5">
      <c r="B25" t="str">
        <v>Hydro</v>
      </c>
      <c r="D25" t="str">
        <v>Nuclear</v>
      </c>
    </row>
    <row r="26" spans="2:5">
      <c r="B26" t="str">
        <v>Solar</v>
      </c>
      <c r="D26" t="str">
        <v>Gasification</v>
      </c>
    </row>
    <row r="27" spans="2:5">
      <c r="B27" t="str">
        <v>Heat transfer</v>
      </c>
    </row>
    <row r="28" spans="2:5">
      <c r="B28" t="str">
        <v>Syngas production</v>
      </c>
    </row>
    <row r="29" spans="2:5">
      <c r="B29" t="str">
        <v>Hydrogen production</v>
      </c>
    </row>
    <row r="30" spans="2:5">
      <c r="B30" t="str">
        <v>Wind turbine</v>
      </c>
    </row>
    <row r="31" spans="2:5">
      <c r="B31" t="str">
        <v>SAF production (HEFA)</v>
      </c>
    </row>
    <row r="32" spans="2:5">
      <c r="B32" t="str">
        <v>Cement</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20340-7520-4785-8D90-903CC491C5BB}">
  <dimension ref="A1:E50"/>
  <sheetViews>
    <sheetView workbookViewId="0"/>
  </sheetViews>
  <sheetFormatPr defaultColWidth="41.44140625" defaultRowHeight="13.2"/>
  <cols>
    <col min="1" max="1" width="6.44140625" bestFit="1" customWidth="1"/>
    <col min="3" max="3" width="20.5546875" bestFit="1" customWidth="1"/>
    <col min="4" max="4" width="36.5546875" bestFit="1" customWidth="1"/>
    <col min="5" max="5" width="51" bestFit="1" customWidth="1"/>
  </cols>
  <sheetData>
    <row r="1" spans="1:5" s="62" customFormat="1">
      <c r="A1" s="62" t="s">
        <v>322</v>
      </c>
      <c r="B1" s="62" t="s">
        <v>7</v>
      </c>
    </row>
    <row r="2" spans="1:5">
      <c r="A2" s="58" t="s">
        <v>323</v>
      </c>
      <c r="B2" t="s">
        <v>324</v>
      </c>
    </row>
    <row r="3" spans="1:5">
      <c r="A3" s="58" t="s">
        <v>325</v>
      </c>
      <c r="B3" t="s">
        <v>326</v>
      </c>
    </row>
    <row r="16" spans="1:5">
      <c r="C16" s="75"/>
      <c r="D16" s="75"/>
      <c r="E16" s="75"/>
    </row>
    <row r="17" spans="3:5">
      <c r="C17" s="85"/>
      <c r="D17" s="86"/>
      <c r="E17" s="87"/>
    </row>
    <row r="18" spans="3:5">
      <c r="C18" s="85"/>
      <c r="D18" s="86"/>
      <c r="E18" s="86"/>
    </row>
    <row r="19" spans="3:5">
      <c r="C19" s="85"/>
      <c r="D19" s="86"/>
      <c r="E19" s="86"/>
    </row>
    <row r="20" spans="3:5">
      <c r="C20" s="85"/>
      <c r="D20" s="86"/>
      <c r="E20" s="86"/>
    </row>
    <row r="21" spans="3:5">
      <c r="C21" s="85"/>
      <c r="D21" s="86"/>
      <c r="E21" s="86"/>
    </row>
    <row r="22" spans="3:5">
      <c r="C22" s="85"/>
      <c r="D22" s="86"/>
      <c r="E22" s="86"/>
    </row>
    <row r="23" spans="3:5">
      <c r="C23" s="85"/>
      <c r="D23" s="86"/>
      <c r="E23" s="86"/>
    </row>
    <row r="24" spans="3:5">
      <c r="C24" s="85"/>
      <c r="D24" s="86"/>
      <c r="E24" s="86"/>
    </row>
    <row r="25" spans="3:5">
      <c r="C25" s="85"/>
      <c r="D25" s="86"/>
      <c r="E25" s="86"/>
    </row>
    <row r="26" spans="3:5">
      <c r="C26" s="85"/>
      <c r="D26" s="86"/>
      <c r="E26" s="86"/>
    </row>
    <row r="27" spans="3:5">
      <c r="C27" s="85"/>
      <c r="D27" s="86"/>
      <c r="E27" s="86"/>
    </row>
    <row r="28" spans="3:5">
      <c r="C28" s="85"/>
      <c r="D28" s="86"/>
      <c r="E28" s="86"/>
    </row>
    <row r="29" spans="3:5">
      <c r="C29" s="85"/>
      <c r="D29" s="86"/>
      <c r="E29" s="86"/>
    </row>
    <row r="30" spans="3:5">
      <c r="C30" s="85"/>
      <c r="D30" s="86"/>
      <c r="E30" s="86"/>
    </row>
    <row r="31" spans="3:5">
      <c r="C31" s="85"/>
      <c r="D31" s="86"/>
      <c r="E31" s="86"/>
    </row>
    <row r="32" spans="3:5">
      <c r="C32" s="85"/>
      <c r="D32" s="86"/>
      <c r="E32" s="86"/>
    </row>
    <row r="33" spans="3:5">
      <c r="C33" s="85"/>
      <c r="D33" s="86"/>
      <c r="E33" s="86"/>
    </row>
    <row r="34" spans="3:5">
      <c r="C34" s="85"/>
      <c r="D34" s="86"/>
      <c r="E34" s="86"/>
    </row>
    <row r="35" spans="3:5">
      <c r="C35" s="85"/>
      <c r="D35" s="86"/>
      <c r="E35" s="86"/>
    </row>
    <row r="36" spans="3:5">
      <c r="C36" s="85"/>
      <c r="D36" s="86"/>
      <c r="E36" s="86"/>
    </row>
    <row r="37" spans="3:5">
      <c r="C37" s="85"/>
      <c r="D37" s="86"/>
      <c r="E37" s="86"/>
    </row>
    <row r="38" spans="3:5">
      <c r="C38" s="85"/>
      <c r="D38" s="86"/>
      <c r="E38" s="86"/>
    </row>
    <row r="39" spans="3:5">
      <c r="C39" s="85"/>
      <c r="D39" s="86"/>
      <c r="E39" s="86"/>
    </row>
    <row r="40" spans="3:5">
      <c r="C40" s="85"/>
      <c r="D40" s="86"/>
      <c r="E40" s="86"/>
    </row>
    <row r="41" spans="3:5">
      <c r="C41" s="85"/>
      <c r="D41" s="86"/>
      <c r="E41" s="86"/>
    </row>
    <row r="42" spans="3:5">
      <c r="C42" s="85"/>
      <c r="D42" s="86"/>
      <c r="E42" s="86"/>
    </row>
    <row r="43" spans="3:5">
      <c r="C43" s="85"/>
      <c r="D43" s="86"/>
      <c r="E43" s="86"/>
    </row>
    <row r="44" spans="3:5">
      <c r="C44" s="85"/>
      <c r="D44" s="86"/>
      <c r="E44" s="86"/>
    </row>
    <row r="45" spans="3:5">
      <c r="C45" s="85"/>
      <c r="D45" s="86"/>
      <c r="E45" s="86"/>
    </row>
    <row r="46" spans="3:5">
      <c r="C46" s="85"/>
      <c r="D46" s="86"/>
      <c r="E46" s="86"/>
    </row>
    <row r="47" spans="3:5">
      <c r="C47" s="85"/>
      <c r="D47" s="86"/>
      <c r="E47" s="86"/>
    </row>
    <row r="48" spans="3:5">
      <c r="C48" s="85"/>
      <c r="D48" s="86"/>
      <c r="E48" s="86"/>
    </row>
    <row r="49" spans="3:5">
      <c r="C49" s="85"/>
      <c r="D49" s="86"/>
      <c r="E49" s="86"/>
    </row>
    <row r="50" spans="3:5">
      <c r="C50" s="85"/>
      <c r="D50" s="86"/>
      <c r="E50" s="8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outlinePr summaryBelow="0" summaryRight="0"/>
  </sheetPr>
  <dimension ref="A1:H59"/>
  <sheetViews>
    <sheetView zoomScale="130" zoomScaleNormal="130" workbookViewId="0">
      <selection activeCell="E4" sqref="E4"/>
    </sheetView>
  </sheetViews>
  <sheetFormatPr defaultColWidth="12.5546875" defaultRowHeight="16.5" customHeight="1"/>
  <cols>
    <col min="1" max="1" width="29.5546875" style="31" bestFit="1" customWidth="1"/>
    <col min="2" max="2" width="77.5546875" style="18" customWidth="1"/>
    <col min="3" max="3" width="20.44140625" style="18" bestFit="1" customWidth="1"/>
    <col min="4" max="6" width="30.44140625" style="18" customWidth="1"/>
    <col min="7" max="7" width="28.44140625" style="31" customWidth="1"/>
    <col min="8" max="8" width="77.44140625" style="18" customWidth="1"/>
    <col min="9" max="16384" width="12.5546875" style="18"/>
  </cols>
  <sheetData>
    <row r="1" spans="1:8" s="29" customFormat="1" ht="33.6" customHeight="1">
      <c r="A1" s="61" t="s">
        <v>327</v>
      </c>
      <c r="B1" s="60" t="s">
        <v>328</v>
      </c>
      <c r="C1" s="60" t="s">
        <v>329</v>
      </c>
      <c r="D1" s="60" t="s">
        <v>330</v>
      </c>
      <c r="E1" s="60" t="s">
        <v>331</v>
      </c>
      <c r="F1" s="60" t="s">
        <v>332</v>
      </c>
      <c r="G1" s="61" t="s">
        <v>75</v>
      </c>
      <c r="H1" s="60" t="s">
        <v>333</v>
      </c>
    </row>
    <row r="2" spans="1:8" ht="16.5" customHeight="1">
      <c r="A2" s="31" t="s">
        <v>334</v>
      </c>
      <c r="B2" s="24" t="s">
        <v>335</v>
      </c>
      <c r="C2" s="24" t="s">
        <v>336</v>
      </c>
      <c r="D2" s="18" t="s">
        <v>337</v>
      </c>
      <c r="E2" s="24" t="s">
        <v>334</v>
      </c>
      <c r="F2" s="24"/>
      <c r="G2" s="31" t="s">
        <v>338</v>
      </c>
    </row>
    <row r="3" spans="1:8" ht="16.5" customHeight="1">
      <c r="A3" s="31" t="s">
        <v>339</v>
      </c>
      <c r="B3" s="24" t="s">
        <v>340</v>
      </c>
      <c r="C3" s="24" t="s">
        <v>336</v>
      </c>
      <c r="D3" s="18" t="s">
        <v>337</v>
      </c>
      <c r="E3" s="24" t="s">
        <v>339</v>
      </c>
      <c r="F3" s="24"/>
      <c r="G3" s="31" t="s">
        <v>338</v>
      </c>
    </row>
    <row r="4" spans="1:8" ht="16.5" customHeight="1">
      <c r="A4" s="31" t="s">
        <v>302</v>
      </c>
      <c r="B4" s="24" t="s">
        <v>341</v>
      </c>
      <c r="C4" s="24" t="s">
        <v>336</v>
      </c>
      <c r="D4" s="18" t="s">
        <v>337</v>
      </c>
      <c r="E4" s="24" t="s">
        <v>302</v>
      </c>
      <c r="F4" s="24"/>
      <c r="G4" s="31" t="s">
        <v>338</v>
      </c>
    </row>
    <row r="5" spans="1:8" ht="16.5" customHeight="1">
      <c r="A5" s="31" t="s">
        <v>342</v>
      </c>
      <c r="B5" s="47" t="s">
        <v>343</v>
      </c>
      <c r="C5" s="24" t="s">
        <v>336</v>
      </c>
      <c r="D5" s="18" t="s">
        <v>337</v>
      </c>
      <c r="E5" s="24" t="s">
        <v>302</v>
      </c>
      <c r="F5" s="24"/>
      <c r="G5" s="31" t="s">
        <v>338</v>
      </c>
    </row>
    <row r="6" spans="1:8" ht="16.5" customHeight="1">
      <c r="A6" s="31" t="s">
        <v>344</v>
      </c>
      <c r="B6" s="47" t="s">
        <v>345</v>
      </c>
      <c r="C6" s="24" t="s">
        <v>336</v>
      </c>
      <c r="D6" s="18" t="s">
        <v>337</v>
      </c>
      <c r="E6" s="24" t="s">
        <v>302</v>
      </c>
      <c r="F6" s="24"/>
      <c r="G6" s="31" t="s">
        <v>338</v>
      </c>
    </row>
    <row r="7" spans="1:8" ht="16.5" customHeight="1">
      <c r="A7" s="31" t="s">
        <v>346</v>
      </c>
      <c r="B7" s="24" t="s">
        <v>347</v>
      </c>
      <c r="C7" s="24" t="s">
        <v>336</v>
      </c>
      <c r="D7" s="18" t="s">
        <v>258</v>
      </c>
      <c r="E7" s="24" t="s">
        <v>348</v>
      </c>
      <c r="F7" s="24"/>
      <c r="G7" s="31" t="s">
        <v>338</v>
      </c>
      <c r="H7" s="56" t="s">
        <v>349</v>
      </c>
    </row>
    <row r="8" spans="1:8" ht="16.5" customHeight="1">
      <c r="A8" s="31" t="s">
        <v>350</v>
      </c>
      <c r="B8" s="51" t="s">
        <v>351</v>
      </c>
      <c r="C8" s="24" t="s">
        <v>336</v>
      </c>
      <c r="D8" s="18" t="s">
        <v>258</v>
      </c>
      <c r="E8" s="24" t="s">
        <v>348</v>
      </c>
      <c r="F8" s="24"/>
      <c r="G8" s="31" t="s">
        <v>338</v>
      </c>
    </row>
    <row r="9" spans="1:8" ht="16.5" customHeight="1">
      <c r="A9" s="31" t="s">
        <v>352</v>
      </c>
      <c r="B9" s="24" t="s">
        <v>353</v>
      </c>
      <c r="C9" s="24" t="s">
        <v>336</v>
      </c>
      <c r="D9" s="18" t="s">
        <v>258</v>
      </c>
      <c r="E9" s="24" t="s">
        <v>348</v>
      </c>
      <c r="F9" s="24"/>
      <c r="G9" s="31" t="s">
        <v>338</v>
      </c>
      <c r="H9" s="56" t="s">
        <v>349</v>
      </c>
    </row>
    <row r="10" spans="1:8" ht="16.5" customHeight="1">
      <c r="A10" s="31" t="s">
        <v>354</v>
      </c>
      <c r="B10" s="47" t="s">
        <v>355</v>
      </c>
      <c r="C10" s="24" t="s">
        <v>336</v>
      </c>
      <c r="D10" s="18" t="s">
        <v>258</v>
      </c>
      <c r="E10" s="24" t="s">
        <v>348</v>
      </c>
      <c r="F10" s="24"/>
      <c r="G10" s="31" t="s">
        <v>338</v>
      </c>
    </row>
    <row r="11" spans="1:8" ht="16.5" customHeight="1">
      <c r="A11" s="31" t="s">
        <v>356</v>
      </c>
      <c r="B11" s="47" t="s">
        <v>357</v>
      </c>
      <c r="C11" s="24" t="s">
        <v>336</v>
      </c>
      <c r="D11" s="18" t="s">
        <v>258</v>
      </c>
      <c r="E11" s="24" t="s">
        <v>348</v>
      </c>
      <c r="F11" s="24"/>
      <c r="G11" s="31" t="s">
        <v>338</v>
      </c>
    </row>
    <row r="12" spans="1:8" ht="16.5" customHeight="1">
      <c r="A12" s="31" t="s">
        <v>358</v>
      </c>
      <c r="B12" s="47" t="s">
        <v>359</v>
      </c>
      <c r="C12" s="24" t="s">
        <v>336</v>
      </c>
      <c r="D12" s="18" t="s">
        <v>258</v>
      </c>
      <c r="E12" s="24" t="s">
        <v>348</v>
      </c>
      <c r="F12" s="24"/>
      <c r="G12" s="31" t="s">
        <v>338</v>
      </c>
    </row>
    <row r="13" spans="1:8" ht="16.5" customHeight="1">
      <c r="A13" s="31" t="s">
        <v>360</v>
      </c>
      <c r="B13" s="47" t="s">
        <v>361</v>
      </c>
      <c r="C13" s="24" t="s">
        <v>336</v>
      </c>
      <c r="D13" s="18" t="s">
        <v>258</v>
      </c>
      <c r="E13" s="24" t="s">
        <v>348</v>
      </c>
      <c r="F13" s="24"/>
      <c r="G13" s="31" t="s">
        <v>338</v>
      </c>
    </row>
    <row r="14" spans="1:8" ht="16.5" customHeight="1">
      <c r="A14" s="31" t="s">
        <v>362</v>
      </c>
      <c r="B14" s="47" t="s">
        <v>363</v>
      </c>
      <c r="C14" s="24" t="s">
        <v>336</v>
      </c>
      <c r="D14" s="18" t="s">
        <v>258</v>
      </c>
      <c r="E14" s="24" t="s">
        <v>348</v>
      </c>
      <c r="F14" s="24"/>
      <c r="G14" s="31" t="s">
        <v>338</v>
      </c>
    </row>
    <row r="15" spans="1:8" ht="16.5" customHeight="1">
      <c r="A15" s="31" t="s">
        <v>364</v>
      </c>
      <c r="B15" s="47" t="s">
        <v>262</v>
      </c>
      <c r="C15" s="24" t="s">
        <v>336</v>
      </c>
      <c r="D15" s="18" t="s">
        <v>365</v>
      </c>
      <c r="E15" s="24" t="s">
        <v>364</v>
      </c>
      <c r="F15" s="24"/>
      <c r="G15" s="31" t="s">
        <v>338</v>
      </c>
    </row>
    <row r="16" spans="1:8" ht="16.5" customHeight="1">
      <c r="A16" s="31" t="s">
        <v>366</v>
      </c>
      <c r="B16" s="47" t="s">
        <v>367</v>
      </c>
      <c r="C16" s="24" t="s">
        <v>336</v>
      </c>
      <c r="D16" s="18" t="s">
        <v>365</v>
      </c>
      <c r="E16" s="24" t="s">
        <v>364</v>
      </c>
      <c r="F16" s="24"/>
      <c r="G16" s="31" t="s">
        <v>338</v>
      </c>
    </row>
    <row r="17" spans="1:7" ht="16.5" customHeight="1">
      <c r="A17" s="31" t="s">
        <v>368</v>
      </c>
      <c r="B17" s="47" t="s">
        <v>369</v>
      </c>
      <c r="C17" s="24" t="s">
        <v>336</v>
      </c>
      <c r="D17" s="18" t="s">
        <v>365</v>
      </c>
      <c r="E17" s="24" t="s">
        <v>364</v>
      </c>
      <c r="F17" s="24"/>
      <c r="G17" s="31" t="s">
        <v>338</v>
      </c>
    </row>
    <row r="18" spans="1:7" ht="16.5" customHeight="1">
      <c r="A18" s="31" t="s">
        <v>370</v>
      </c>
      <c r="B18" s="47" t="s">
        <v>371</v>
      </c>
      <c r="C18" s="24" t="s">
        <v>336</v>
      </c>
      <c r="D18" s="18" t="s">
        <v>365</v>
      </c>
      <c r="E18" s="18" t="s">
        <v>370</v>
      </c>
      <c r="G18" s="31" t="s">
        <v>338</v>
      </c>
    </row>
    <row r="19" spans="1:7" ht="16.5" customHeight="1">
      <c r="A19" s="31" t="s">
        <v>372</v>
      </c>
      <c r="B19" s="47" t="s">
        <v>373</v>
      </c>
      <c r="C19" s="24" t="s">
        <v>336</v>
      </c>
      <c r="D19" s="18" t="s">
        <v>365</v>
      </c>
      <c r="E19" s="18" t="s">
        <v>372</v>
      </c>
      <c r="G19" s="31" t="s">
        <v>338</v>
      </c>
    </row>
    <row r="20" spans="1:7" ht="16.5" customHeight="1">
      <c r="A20" s="31" t="s">
        <v>374</v>
      </c>
      <c r="B20" s="47" t="s">
        <v>375</v>
      </c>
      <c r="C20" s="24" t="s">
        <v>336</v>
      </c>
      <c r="D20" s="18" t="s">
        <v>365</v>
      </c>
      <c r="E20" s="18" t="s">
        <v>372</v>
      </c>
      <c r="G20" s="31" t="s">
        <v>338</v>
      </c>
    </row>
    <row r="21" spans="1:7" ht="16.5" customHeight="1">
      <c r="A21" s="31" t="s">
        <v>376</v>
      </c>
      <c r="B21" s="47" t="s">
        <v>377</v>
      </c>
      <c r="C21" s="24" t="s">
        <v>336</v>
      </c>
      <c r="D21" s="18" t="s">
        <v>365</v>
      </c>
      <c r="E21" s="18" t="s">
        <v>372</v>
      </c>
      <c r="G21" s="31" t="s">
        <v>338</v>
      </c>
    </row>
    <row r="22" spans="1:7" ht="16.5" customHeight="1">
      <c r="A22" s="31" t="s">
        <v>378</v>
      </c>
      <c r="B22" s="47" t="s">
        <v>379</v>
      </c>
      <c r="C22" s="24" t="s">
        <v>380</v>
      </c>
      <c r="E22" s="24" t="s">
        <v>381</v>
      </c>
      <c r="F22" s="24"/>
      <c r="G22" s="31" t="s">
        <v>338</v>
      </c>
    </row>
    <row r="23" spans="1:7" ht="16.5" customHeight="1">
      <c r="A23" s="31" t="s">
        <v>382</v>
      </c>
      <c r="B23" s="24" t="s">
        <v>383</v>
      </c>
      <c r="C23" s="24" t="s">
        <v>380</v>
      </c>
      <c r="E23" s="24" t="s">
        <v>382</v>
      </c>
      <c r="F23" s="24"/>
      <c r="G23" s="31" t="s">
        <v>338</v>
      </c>
    </row>
    <row r="24" spans="1:7" ht="16.5" customHeight="1">
      <c r="A24" s="31" t="s">
        <v>384</v>
      </c>
      <c r="B24" s="24" t="s">
        <v>385</v>
      </c>
      <c r="C24" s="24" t="s">
        <v>380</v>
      </c>
      <c r="E24" s="24" t="s">
        <v>382</v>
      </c>
      <c r="F24" s="24"/>
      <c r="G24" s="31" t="s">
        <v>338</v>
      </c>
    </row>
    <row r="25" spans="1:7" ht="16.5" customHeight="1">
      <c r="A25" s="31" t="s">
        <v>386</v>
      </c>
      <c r="B25" s="47" t="s">
        <v>387</v>
      </c>
      <c r="C25" s="24" t="s">
        <v>380</v>
      </c>
      <c r="E25" s="24" t="s">
        <v>382</v>
      </c>
      <c r="F25" s="24"/>
      <c r="G25" s="31" t="s">
        <v>338</v>
      </c>
    </row>
    <row r="26" spans="1:7" ht="16.5" customHeight="1">
      <c r="A26" s="31" t="s">
        <v>388</v>
      </c>
      <c r="B26" s="47" t="s">
        <v>389</v>
      </c>
      <c r="C26" s="24" t="s">
        <v>380</v>
      </c>
      <c r="E26" s="24" t="s">
        <v>382</v>
      </c>
      <c r="F26" s="24"/>
      <c r="G26" s="31" t="s">
        <v>338</v>
      </c>
    </row>
    <row r="27" spans="1:7" ht="16.5" customHeight="1">
      <c r="A27" s="31" t="s">
        <v>390</v>
      </c>
      <c r="B27" s="47" t="s">
        <v>391</v>
      </c>
      <c r="C27" s="24" t="s">
        <v>380</v>
      </c>
      <c r="E27" s="24" t="s">
        <v>382</v>
      </c>
      <c r="F27" s="24"/>
      <c r="G27" s="31" t="s">
        <v>338</v>
      </c>
    </row>
    <row r="28" spans="1:7" ht="16.5" customHeight="1">
      <c r="A28" s="31" t="s">
        <v>392</v>
      </c>
      <c r="B28" s="47" t="s">
        <v>393</v>
      </c>
      <c r="C28" s="24" t="s">
        <v>380</v>
      </c>
      <c r="E28" s="24" t="s">
        <v>382</v>
      </c>
      <c r="F28" s="24"/>
    </row>
    <row r="29" spans="1:7" ht="16.5" customHeight="1">
      <c r="A29" s="31" t="s">
        <v>394</v>
      </c>
      <c r="B29" s="24" t="s">
        <v>395</v>
      </c>
      <c r="C29" s="24" t="s">
        <v>380</v>
      </c>
      <c r="E29" s="24" t="s">
        <v>394</v>
      </c>
      <c r="F29" s="24"/>
      <c r="G29" s="31" t="s">
        <v>338</v>
      </c>
    </row>
    <row r="30" spans="1:7" ht="16.5" customHeight="1">
      <c r="A30" s="31" t="s">
        <v>396</v>
      </c>
      <c r="B30" s="24" t="s">
        <v>260</v>
      </c>
      <c r="C30" s="24" t="s">
        <v>336</v>
      </c>
      <c r="D30" s="18" t="s">
        <v>365</v>
      </c>
      <c r="E30" s="24" t="s">
        <v>396</v>
      </c>
      <c r="F30" s="24"/>
      <c r="G30" s="31" t="s">
        <v>338</v>
      </c>
    </row>
    <row r="31" spans="1:7" ht="16.5" customHeight="1">
      <c r="A31" s="31" t="s">
        <v>397</v>
      </c>
      <c r="B31" s="47" t="s">
        <v>398</v>
      </c>
      <c r="C31" s="24" t="s">
        <v>336</v>
      </c>
      <c r="D31" s="18" t="s">
        <v>365</v>
      </c>
      <c r="E31" s="24" t="s">
        <v>396</v>
      </c>
      <c r="F31" s="24"/>
      <c r="G31" s="31" t="s">
        <v>338</v>
      </c>
    </row>
    <row r="32" spans="1:7" ht="16.5" customHeight="1">
      <c r="A32" s="31" t="s">
        <v>399</v>
      </c>
      <c r="B32" s="47" t="s">
        <v>400</v>
      </c>
      <c r="C32" s="24" t="s">
        <v>336</v>
      </c>
      <c r="D32" s="18" t="s">
        <v>365</v>
      </c>
      <c r="E32" s="24" t="s">
        <v>396</v>
      </c>
      <c r="F32" s="24"/>
      <c r="G32" s="31" t="s">
        <v>338</v>
      </c>
    </row>
    <row r="33" spans="1:7" ht="16.5" customHeight="1">
      <c r="A33" s="31" t="s">
        <v>401</v>
      </c>
      <c r="B33" s="47" t="s">
        <v>402</v>
      </c>
      <c r="C33" s="24" t="s">
        <v>336</v>
      </c>
      <c r="D33" s="18" t="s">
        <v>365</v>
      </c>
      <c r="E33" s="24" t="s">
        <v>396</v>
      </c>
      <c r="F33" s="24"/>
      <c r="G33" s="31" t="s">
        <v>338</v>
      </c>
    </row>
    <row r="34" spans="1:7" ht="16.5" customHeight="1">
      <c r="A34" s="31" t="s">
        <v>403</v>
      </c>
      <c r="B34" s="47" t="s">
        <v>404</v>
      </c>
      <c r="C34" s="24" t="s">
        <v>336</v>
      </c>
      <c r="E34" s="24" t="s">
        <v>241</v>
      </c>
      <c r="F34" s="24"/>
      <c r="G34" s="31" t="s">
        <v>338</v>
      </c>
    </row>
    <row r="35" spans="1:7" ht="16.5" customHeight="1">
      <c r="A35" s="31" t="s">
        <v>405</v>
      </c>
      <c r="B35" s="47" t="s">
        <v>406</v>
      </c>
      <c r="C35" s="24" t="s">
        <v>336</v>
      </c>
      <c r="D35" s="24"/>
      <c r="E35" s="24" t="s">
        <v>241</v>
      </c>
      <c r="F35" s="24"/>
      <c r="G35" s="31" t="s">
        <v>338</v>
      </c>
    </row>
    <row r="36" spans="1:7" ht="16.5" customHeight="1">
      <c r="A36" s="31" t="s">
        <v>407</v>
      </c>
      <c r="B36" s="47" t="s">
        <v>408</v>
      </c>
      <c r="C36" s="24" t="s">
        <v>336</v>
      </c>
      <c r="D36" s="24"/>
      <c r="E36" s="24" t="s">
        <v>241</v>
      </c>
      <c r="F36" s="24"/>
      <c r="G36" s="31" t="s">
        <v>338</v>
      </c>
    </row>
    <row r="37" spans="1:7" ht="16.5" customHeight="1">
      <c r="A37" s="31" t="s">
        <v>409</v>
      </c>
      <c r="B37" s="47" t="s">
        <v>410</v>
      </c>
      <c r="C37" s="24" t="s">
        <v>336</v>
      </c>
      <c r="D37" s="24"/>
      <c r="E37" s="24" t="s">
        <v>241</v>
      </c>
      <c r="F37" s="24"/>
      <c r="G37" s="31" t="s">
        <v>338</v>
      </c>
    </row>
    <row r="38" spans="1:7" ht="16.5" customHeight="1">
      <c r="A38" s="31" t="s">
        <v>411</v>
      </c>
      <c r="B38" s="47" t="s">
        <v>412</v>
      </c>
      <c r="C38" s="24" t="s">
        <v>336</v>
      </c>
      <c r="D38" s="24"/>
      <c r="E38" s="24" t="s">
        <v>411</v>
      </c>
      <c r="F38" s="24"/>
      <c r="G38" s="31" t="s">
        <v>338</v>
      </c>
    </row>
    <row r="39" spans="1:7" ht="16.5" customHeight="1">
      <c r="A39" s="31" t="s">
        <v>413</v>
      </c>
      <c r="B39" s="24" t="s">
        <v>414</v>
      </c>
      <c r="C39" s="24" t="s">
        <v>336</v>
      </c>
      <c r="D39" s="24"/>
      <c r="E39" s="24" t="s">
        <v>413</v>
      </c>
      <c r="F39" s="24"/>
      <c r="G39" s="31" t="s">
        <v>338</v>
      </c>
    </row>
    <row r="40" spans="1:7" ht="16.5" customHeight="1">
      <c r="A40" s="31" t="s">
        <v>415</v>
      </c>
      <c r="B40" s="47" t="s">
        <v>416</v>
      </c>
      <c r="C40" s="24" t="s">
        <v>336</v>
      </c>
      <c r="D40" s="24"/>
      <c r="E40" s="24" t="s">
        <v>413</v>
      </c>
      <c r="F40" s="24"/>
      <c r="G40" s="31" t="s">
        <v>338</v>
      </c>
    </row>
    <row r="41" spans="1:7" ht="16.5" customHeight="1">
      <c r="A41" s="31" t="s">
        <v>417</v>
      </c>
      <c r="B41" s="24" t="s">
        <v>257</v>
      </c>
      <c r="C41" s="24" t="s">
        <v>380</v>
      </c>
      <c r="E41" s="24" t="s">
        <v>417</v>
      </c>
      <c r="G41" s="31" t="s">
        <v>338</v>
      </c>
    </row>
    <row r="42" spans="1:7" ht="16.5" customHeight="1">
      <c r="A42" s="31" t="s">
        <v>418</v>
      </c>
      <c r="B42" s="24" t="s">
        <v>419</v>
      </c>
      <c r="C42" s="24" t="s">
        <v>380</v>
      </c>
      <c r="E42" s="24" t="s">
        <v>417</v>
      </c>
    </row>
    <row r="43" spans="1:7" ht="16.5" customHeight="1">
      <c r="A43" s="31" t="s">
        <v>420</v>
      </c>
      <c r="B43" s="47" t="s">
        <v>421</v>
      </c>
      <c r="C43" s="24" t="s">
        <v>336</v>
      </c>
      <c r="D43" s="24"/>
      <c r="E43" s="24" t="s">
        <v>422</v>
      </c>
      <c r="F43" s="24"/>
      <c r="G43" s="31" t="s">
        <v>338</v>
      </c>
    </row>
    <row r="44" spans="1:7" ht="16.5" customHeight="1">
      <c r="A44" s="31" t="s">
        <v>423</v>
      </c>
      <c r="B44" s="47" t="s">
        <v>424</v>
      </c>
      <c r="C44" s="24" t="s">
        <v>336</v>
      </c>
      <c r="D44" s="24"/>
      <c r="E44" s="24" t="s">
        <v>422</v>
      </c>
      <c r="F44" s="24"/>
      <c r="G44" s="31" t="s">
        <v>338</v>
      </c>
    </row>
    <row r="45" spans="1:7" ht="16.5" customHeight="1">
      <c r="A45" s="31" t="s">
        <v>425</v>
      </c>
      <c r="B45" s="47" t="s">
        <v>426</v>
      </c>
      <c r="C45" s="24" t="s">
        <v>336</v>
      </c>
      <c r="D45" s="24"/>
      <c r="E45" s="24" t="s">
        <v>422</v>
      </c>
      <c r="F45" s="24"/>
      <c r="G45" s="31" t="s">
        <v>338</v>
      </c>
    </row>
    <row r="46" spans="1:7" ht="16.5" customHeight="1">
      <c r="A46" s="31" t="s">
        <v>427</v>
      </c>
      <c r="B46" s="47" t="s">
        <v>428</v>
      </c>
      <c r="C46" s="24" t="s">
        <v>336</v>
      </c>
      <c r="D46" s="24"/>
      <c r="E46" s="24" t="s">
        <v>422</v>
      </c>
      <c r="F46" s="24"/>
      <c r="G46" s="31" t="s">
        <v>338</v>
      </c>
    </row>
    <row r="47" spans="1:7" ht="16.5" customHeight="1">
      <c r="A47" s="31" t="s">
        <v>429</v>
      </c>
      <c r="B47" s="47" t="s">
        <v>430</v>
      </c>
      <c r="C47" s="24" t="s">
        <v>336</v>
      </c>
      <c r="D47" s="24"/>
      <c r="E47" s="24" t="s">
        <v>422</v>
      </c>
      <c r="F47" s="24"/>
      <c r="G47" s="31" t="s">
        <v>338</v>
      </c>
    </row>
    <row r="48" spans="1:7" ht="16.5" customHeight="1">
      <c r="A48" s="31" t="s">
        <v>431</v>
      </c>
      <c r="B48" s="47" t="s">
        <v>432</v>
      </c>
      <c r="C48" s="24" t="s">
        <v>336</v>
      </c>
      <c r="D48" s="24"/>
      <c r="E48" s="24" t="s">
        <v>422</v>
      </c>
      <c r="F48" s="24"/>
      <c r="G48" s="31" t="s">
        <v>338</v>
      </c>
    </row>
    <row r="49" spans="1:7" ht="16.5" customHeight="1">
      <c r="A49" s="31" t="s">
        <v>433</v>
      </c>
      <c r="B49" s="47" t="s">
        <v>434</v>
      </c>
      <c r="C49" s="24" t="s">
        <v>336</v>
      </c>
      <c r="D49" s="24"/>
      <c r="E49" s="24" t="s">
        <v>422</v>
      </c>
      <c r="F49" s="24"/>
      <c r="G49" s="31" t="s">
        <v>338</v>
      </c>
    </row>
    <row r="50" spans="1:7" ht="16.5" customHeight="1">
      <c r="A50" s="31" t="s">
        <v>435</v>
      </c>
      <c r="B50" s="47" t="s">
        <v>436</v>
      </c>
      <c r="C50" s="24" t="s">
        <v>336</v>
      </c>
      <c r="D50" s="24"/>
      <c r="E50" s="24" t="s">
        <v>422</v>
      </c>
      <c r="F50" s="24"/>
      <c r="G50" s="31" t="s">
        <v>338</v>
      </c>
    </row>
    <row r="51" spans="1:7" ht="16.5" customHeight="1">
      <c r="A51" s="31" t="s">
        <v>437</v>
      </c>
      <c r="B51" s="47" t="s">
        <v>438</v>
      </c>
      <c r="C51" s="24" t="s">
        <v>336</v>
      </c>
      <c r="D51" s="24"/>
      <c r="E51" s="24" t="s">
        <v>422</v>
      </c>
      <c r="F51" s="24"/>
      <c r="G51" s="31" t="s">
        <v>338</v>
      </c>
    </row>
    <row r="52" spans="1:7" ht="16.5" customHeight="1">
      <c r="A52" s="31" t="s">
        <v>439</v>
      </c>
      <c r="B52" s="47" t="s">
        <v>440</v>
      </c>
      <c r="C52" s="24" t="s">
        <v>336</v>
      </c>
      <c r="D52" s="24"/>
      <c r="E52" s="24" t="s">
        <v>422</v>
      </c>
      <c r="F52" s="24"/>
      <c r="G52" s="31" t="s">
        <v>338</v>
      </c>
    </row>
    <row r="53" spans="1:7" ht="16.5" customHeight="1">
      <c r="A53" s="31" t="s">
        <v>441</v>
      </c>
      <c r="B53" s="47" t="s">
        <v>442</v>
      </c>
      <c r="C53" s="24" t="s">
        <v>336</v>
      </c>
      <c r="D53" s="24"/>
      <c r="E53" s="24" t="s">
        <v>422</v>
      </c>
      <c r="F53" s="24"/>
      <c r="G53" s="31" t="s">
        <v>338</v>
      </c>
    </row>
    <row r="54" spans="1:7" ht="16.5" customHeight="1">
      <c r="A54" s="31" t="s">
        <v>443</v>
      </c>
      <c r="B54" s="47" t="s">
        <v>444</v>
      </c>
      <c r="C54" s="24" t="s">
        <v>336</v>
      </c>
      <c r="D54" s="24"/>
      <c r="E54" s="24" t="s">
        <v>443</v>
      </c>
      <c r="F54" s="24"/>
      <c r="G54" s="31" t="s">
        <v>338</v>
      </c>
    </row>
    <row r="55" spans="1:7" ht="16.5" customHeight="1">
      <c r="A55" s="31" t="s">
        <v>445</v>
      </c>
      <c r="B55" s="18" t="s">
        <v>446</v>
      </c>
      <c r="C55" s="24" t="s">
        <v>336</v>
      </c>
      <c r="E55" s="18" t="s">
        <v>422</v>
      </c>
    </row>
    <row r="56" spans="1:7" ht="16.5" customHeight="1">
      <c r="A56" s="31" t="s">
        <v>447</v>
      </c>
      <c r="B56" s="18" t="s">
        <v>446</v>
      </c>
      <c r="C56" s="24" t="s">
        <v>336</v>
      </c>
      <c r="E56" s="18" t="s">
        <v>447</v>
      </c>
    </row>
    <row r="57" spans="1:7" ht="16.5" customHeight="1">
      <c r="A57" s="31" t="s">
        <v>448</v>
      </c>
      <c r="B57" s="18" t="s">
        <v>449</v>
      </c>
      <c r="C57" s="24" t="s">
        <v>380</v>
      </c>
      <c r="E57" s="18" t="s">
        <v>448</v>
      </c>
    </row>
    <row r="58" spans="1:7" ht="16.5" customHeight="1">
      <c r="A58" s="31" t="s">
        <v>450</v>
      </c>
      <c r="B58" s="18" t="s">
        <v>451</v>
      </c>
      <c r="C58" s="24" t="s">
        <v>336</v>
      </c>
      <c r="D58" s="18" t="s">
        <v>365</v>
      </c>
      <c r="E58" s="18" t="s">
        <v>450</v>
      </c>
    </row>
    <row r="59" spans="1:7" ht="16.5" customHeight="1">
      <c r="A59" s="31" t="s">
        <v>452</v>
      </c>
      <c r="B59" s="18" t="s">
        <v>453</v>
      </c>
      <c r="C59" s="24" t="s">
        <v>336</v>
      </c>
      <c r="D59" s="18" t="s">
        <v>365</v>
      </c>
      <c r="E59" s="18" t="s">
        <v>452</v>
      </c>
    </row>
  </sheetData>
  <autoFilter ref="B1:H55" xr:uid="{00000000-0009-0000-0000-000002000000}"/>
  <hyperlinks>
    <hyperlink ref="H7" r:id="rId1" xr:uid="{F68D3C88-9CC4-4783-B0E9-1EBF86CAE2AC}"/>
    <hyperlink ref="H9" r:id="rId2" xr:uid="{129C4D38-F423-43CD-B9A2-C214F323B639}"/>
  </hyperlinks>
  <pageMargins left="0" right="0" top="0" bottom="0" header="0" footer="0"/>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59999389629810485"/>
    <outlinePr summaryBelow="0" summaryRight="0"/>
  </sheetPr>
  <dimension ref="A1:D8"/>
  <sheetViews>
    <sheetView workbookViewId="0">
      <selection activeCell="A2" sqref="A2:B2"/>
    </sheetView>
  </sheetViews>
  <sheetFormatPr defaultColWidth="12.5546875" defaultRowHeight="16.5" customHeight="1"/>
  <cols>
    <col min="1" max="1" width="19.44140625" bestFit="1" customWidth="1"/>
    <col min="2" max="2" width="34.5546875" customWidth="1"/>
    <col min="3" max="3" width="60.5546875" bestFit="1" customWidth="1"/>
  </cols>
  <sheetData>
    <row r="1" spans="1:4" ht="16.5" customHeight="1">
      <c r="A1" s="2" t="s">
        <v>454</v>
      </c>
      <c r="B1" s="2" t="s">
        <v>455</v>
      </c>
      <c r="C1" s="2" t="s">
        <v>333</v>
      </c>
      <c r="D1" s="2"/>
    </row>
    <row r="2" spans="1:4" ht="16.5" customHeight="1">
      <c r="A2" s="1" t="s">
        <v>456</v>
      </c>
      <c r="B2" s="1" t="s">
        <v>457</v>
      </c>
    </row>
    <row r="3" spans="1:4" ht="16.5" customHeight="1">
      <c r="A3" t="s">
        <v>458</v>
      </c>
      <c r="B3" t="s">
        <v>459</v>
      </c>
      <c r="C3" t="s">
        <v>460</v>
      </c>
    </row>
    <row r="4" spans="1:4" ht="16.5" customHeight="1">
      <c r="A4" t="s">
        <v>461</v>
      </c>
      <c r="B4" t="s">
        <v>462</v>
      </c>
      <c r="C4" t="s">
        <v>460</v>
      </c>
    </row>
    <row r="5" spans="1:4" ht="16.5" customHeight="1">
      <c r="A5" t="s">
        <v>463</v>
      </c>
      <c r="B5" t="s">
        <v>464</v>
      </c>
      <c r="C5" t="s">
        <v>460</v>
      </c>
    </row>
    <row r="6" spans="1:4" ht="16.5" customHeight="1">
      <c r="A6" t="s">
        <v>465</v>
      </c>
      <c r="B6" t="s">
        <v>466</v>
      </c>
      <c r="C6" s="17" t="s">
        <v>460</v>
      </c>
    </row>
    <row r="7" spans="1:4" ht="16.5" customHeight="1">
      <c r="A7" t="s">
        <v>467</v>
      </c>
      <c r="B7" t="s">
        <v>468</v>
      </c>
      <c r="C7" t="s">
        <v>460</v>
      </c>
    </row>
    <row r="8" spans="1:4" ht="16.5" customHeight="1">
      <c r="A8" t="s">
        <v>469</v>
      </c>
      <c r="B8" t="s">
        <v>470</v>
      </c>
      <c r="C8" t="s">
        <v>460</v>
      </c>
    </row>
  </sheetData>
  <hyperlinks>
    <hyperlink ref="C6" r:id="rId1" xr:uid="{B83EC8CC-3E2E-46A2-B3D3-A4B4E7DEBDBF}"/>
  </hyperlinks>
  <pageMargins left="0" right="0" top="0" bottom="0" header="0" footer="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9900"/>
    <outlinePr summaryBelow="0" summaryRight="0"/>
  </sheetPr>
  <dimension ref="A1:F4"/>
  <sheetViews>
    <sheetView workbookViewId="0"/>
  </sheetViews>
  <sheetFormatPr defaultColWidth="12.5546875" defaultRowHeight="16.5" customHeight="1"/>
  <cols>
    <col min="1" max="1" width="12.5546875" customWidth="1"/>
    <col min="2" max="2" width="16.44140625" customWidth="1"/>
  </cols>
  <sheetData>
    <row r="1" spans="1:6" ht="16.5" customHeight="1">
      <c r="A1" s="1" t="s">
        <v>471</v>
      </c>
      <c r="B1" s="1" t="s">
        <v>472</v>
      </c>
      <c r="C1" s="1" t="s">
        <v>473</v>
      </c>
      <c r="D1" s="1" t="s">
        <v>333</v>
      </c>
      <c r="E1" s="1" t="s">
        <v>474</v>
      </c>
      <c r="F1" s="1" t="s">
        <v>75</v>
      </c>
    </row>
    <row r="2" spans="1:6" ht="16.5" customHeight="1">
      <c r="A2" s="1" t="s">
        <v>475</v>
      </c>
      <c r="B2" s="1" t="s">
        <v>476</v>
      </c>
      <c r="C2" s="1" t="s">
        <v>477</v>
      </c>
    </row>
    <row r="3" spans="1:6" ht="16.5" customHeight="1">
      <c r="A3" s="1" t="s">
        <v>478</v>
      </c>
      <c r="B3" s="1" t="s">
        <v>479</v>
      </c>
      <c r="C3" s="1" t="s">
        <v>480</v>
      </c>
    </row>
    <row r="4" spans="1:6" ht="16.5" customHeight="1">
      <c r="A4" s="1" t="s">
        <v>481</v>
      </c>
      <c r="B4" s="1" t="s">
        <v>482</v>
      </c>
      <c r="C4" s="1" t="s">
        <v>483</v>
      </c>
    </row>
  </sheetData>
  <pageMargins left="0" right="0" top="0" bottom="0" header="0" footer="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3F04B-41D1-4751-9F83-C21692EB1D73}">
  <sheetPr>
    <tabColor rgb="FFD9F2EC"/>
  </sheetPr>
  <dimension ref="A1:I86"/>
  <sheetViews>
    <sheetView workbookViewId="0">
      <selection activeCell="E1" sqref="E1"/>
    </sheetView>
  </sheetViews>
  <sheetFormatPr defaultColWidth="8.5546875" defaultRowHeight="15.6"/>
  <cols>
    <col min="1" max="1" width="54.44140625" style="18" bestFit="1" customWidth="1"/>
    <col min="2" max="2" width="43.5546875" style="18" customWidth="1"/>
    <col min="3" max="3" width="16.5546875" style="18" customWidth="1"/>
    <col min="4" max="4" width="33.44140625" style="18" bestFit="1" customWidth="1"/>
    <col min="5" max="5" width="21.5546875" style="18" customWidth="1"/>
    <col min="6" max="6" width="23.44140625" style="18" customWidth="1"/>
    <col min="7" max="7" width="27.44140625" style="18" customWidth="1"/>
    <col min="8" max="8" width="27.5546875" style="18" bestFit="1" customWidth="1"/>
    <col min="9" max="9" width="10.5546875" style="18" bestFit="1" customWidth="1"/>
    <col min="10" max="16384" width="8.5546875" style="18"/>
  </cols>
  <sheetData>
    <row r="1" spans="1:9" s="45" customFormat="1">
      <c r="A1" s="53" t="s">
        <v>484</v>
      </c>
      <c r="B1" s="53" t="s">
        <v>485</v>
      </c>
      <c r="C1" s="45" t="s">
        <v>93</v>
      </c>
      <c r="D1" s="45" t="s">
        <v>486</v>
      </c>
      <c r="E1" s="45" t="s">
        <v>487</v>
      </c>
      <c r="F1" s="45" t="s">
        <v>488</v>
      </c>
      <c r="G1" s="45" t="s">
        <v>489</v>
      </c>
      <c r="H1" s="45" t="s">
        <v>333</v>
      </c>
      <c r="I1" s="45" t="s">
        <v>474</v>
      </c>
    </row>
    <row r="2" spans="1:9">
      <c r="A2" s="47" t="s">
        <v>490</v>
      </c>
      <c r="B2" s="47" t="s">
        <v>491</v>
      </c>
      <c r="C2" s="18" t="s">
        <v>304</v>
      </c>
      <c r="D2" s="18" t="s">
        <v>232</v>
      </c>
      <c r="E2" s="18" t="s">
        <v>260</v>
      </c>
      <c r="F2" s="18" t="s">
        <v>492</v>
      </c>
      <c r="G2" s="18" t="s">
        <v>396</v>
      </c>
    </row>
    <row r="3" spans="1:9">
      <c r="A3" s="47" t="s">
        <v>493</v>
      </c>
      <c r="B3" s="47" t="s">
        <v>494</v>
      </c>
      <c r="C3" s="18" t="s">
        <v>304</v>
      </c>
      <c r="D3" s="18" t="s">
        <v>273</v>
      </c>
      <c r="E3" s="18" t="s">
        <v>266</v>
      </c>
      <c r="F3" s="18" t="s">
        <v>495</v>
      </c>
      <c r="G3" s="18" t="s">
        <v>396</v>
      </c>
    </row>
    <row r="4" spans="1:9" ht="31.2">
      <c r="A4" s="47" t="s">
        <v>496</v>
      </c>
      <c r="B4" s="47" t="s">
        <v>497</v>
      </c>
      <c r="C4" s="18" t="s">
        <v>304</v>
      </c>
      <c r="D4" s="18" t="s">
        <v>273</v>
      </c>
      <c r="E4" s="18" t="s">
        <v>266</v>
      </c>
      <c r="F4" s="18" t="s">
        <v>498</v>
      </c>
      <c r="G4" s="18" t="s">
        <v>396</v>
      </c>
    </row>
    <row r="5" spans="1:9" ht="31.2">
      <c r="A5" s="47" t="s">
        <v>499</v>
      </c>
      <c r="B5" s="47" t="s">
        <v>500</v>
      </c>
      <c r="C5" s="18" t="s">
        <v>304</v>
      </c>
      <c r="D5" s="18" t="s">
        <v>229</v>
      </c>
      <c r="E5" s="18" t="s">
        <v>262</v>
      </c>
      <c r="F5" s="18" t="s">
        <v>339</v>
      </c>
      <c r="G5" s="18" t="s">
        <v>501</v>
      </c>
    </row>
    <row r="6" spans="1:9" ht="31.2">
      <c r="A6" s="47" t="s">
        <v>502</v>
      </c>
      <c r="B6" s="47" t="s">
        <v>503</v>
      </c>
      <c r="C6" s="18" t="s">
        <v>304</v>
      </c>
      <c r="D6" s="18" t="s">
        <v>277</v>
      </c>
      <c r="E6" s="18" t="s">
        <v>262</v>
      </c>
      <c r="F6" s="18" t="s">
        <v>504</v>
      </c>
      <c r="G6" s="18" t="s">
        <v>505</v>
      </c>
    </row>
    <row r="7" spans="1:9" ht="31.2">
      <c r="A7" s="47" t="s">
        <v>506</v>
      </c>
      <c r="B7" s="47" t="s">
        <v>507</v>
      </c>
      <c r="C7" s="18" t="s">
        <v>304</v>
      </c>
      <c r="D7" s="18" t="s">
        <v>277</v>
      </c>
      <c r="E7" s="18" t="s">
        <v>262</v>
      </c>
      <c r="F7" s="18" t="s">
        <v>508</v>
      </c>
      <c r="G7" s="18" t="s">
        <v>505</v>
      </c>
    </row>
    <row r="8" spans="1:9">
      <c r="A8" s="47" t="s">
        <v>509</v>
      </c>
      <c r="B8" s="47" t="s">
        <v>510</v>
      </c>
      <c r="C8" s="18" t="s">
        <v>304</v>
      </c>
      <c r="D8" s="18" t="s">
        <v>511</v>
      </c>
      <c r="E8" s="18" t="s">
        <v>512</v>
      </c>
      <c r="F8" s="18" t="s">
        <v>513</v>
      </c>
      <c r="G8" s="18" t="s">
        <v>417</v>
      </c>
    </row>
    <row r="9" spans="1:9">
      <c r="A9" s="153" t="s">
        <v>514</v>
      </c>
      <c r="B9" s="155" t="s">
        <v>515</v>
      </c>
      <c r="C9" s="153" t="s">
        <v>304</v>
      </c>
      <c r="D9" s="153" t="s">
        <v>277</v>
      </c>
      <c r="E9" s="153" t="s">
        <v>262</v>
      </c>
      <c r="F9" s="153" t="s">
        <v>504</v>
      </c>
      <c r="G9" s="153" t="s">
        <v>505</v>
      </c>
      <c r="H9" s="154" t="s">
        <v>516</v>
      </c>
    </row>
    <row r="10" spans="1:9" ht="31.2">
      <c r="A10" s="153" t="s">
        <v>517</v>
      </c>
      <c r="B10" s="155" t="s">
        <v>518</v>
      </c>
      <c r="C10" s="153" t="s">
        <v>304</v>
      </c>
      <c r="D10" s="153" t="s">
        <v>277</v>
      </c>
      <c r="E10" s="153" t="s">
        <v>262</v>
      </c>
      <c r="F10" s="153" t="s">
        <v>504</v>
      </c>
      <c r="G10" s="153" t="s">
        <v>505</v>
      </c>
      <c r="H10" s="154" t="s">
        <v>516</v>
      </c>
    </row>
    <row r="11" spans="1:9">
      <c r="A11" s="153" t="s">
        <v>519</v>
      </c>
      <c r="B11" s="155" t="s">
        <v>520</v>
      </c>
      <c r="C11" s="153" t="s">
        <v>304</v>
      </c>
      <c r="D11" s="153" t="s">
        <v>277</v>
      </c>
      <c r="E11" s="153"/>
      <c r="F11" s="153" t="s">
        <v>521</v>
      </c>
      <c r="G11" s="153" t="s">
        <v>417</v>
      </c>
      <c r="H11" s="154" t="s">
        <v>516</v>
      </c>
    </row>
    <row r="12" spans="1:9" ht="31.2">
      <c r="A12" s="153" t="s">
        <v>522</v>
      </c>
      <c r="B12" s="155" t="s">
        <v>523</v>
      </c>
      <c r="C12" s="153" t="s">
        <v>304</v>
      </c>
      <c r="D12" s="153" t="s">
        <v>232</v>
      </c>
      <c r="E12" s="153" t="s">
        <v>524</v>
      </c>
      <c r="F12" s="153" t="s">
        <v>525</v>
      </c>
      <c r="G12" s="153" t="s">
        <v>526</v>
      </c>
      <c r="H12" s="154" t="s">
        <v>516</v>
      </c>
    </row>
    <row r="13" spans="1:9">
      <c r="A13" s="18" t="s">
        <v>527</v>
      </c>
      <c r="B13" s="47" t="s">
        <v>528</v>
      </c>
      <c r="C13" s="18" t="s">
        <v>529</v>
      </c>
      <c r="D13" s="18" t="s">
        <v>530</v>
      </c>
      <c r="G13" s="18" t="s">
        <v>531</v>
      </c>
    </row>
    <row r="14" spans="1:9" ht="31.2">
      <c r="A14" s="18" t="s">
        <v>532</v>
      </c>
      <c r="B14" s="47" t="s">
        <v>533</v>
      </c>
      <c r="C14" s="18" t="s">
        <v>529</v>
      </c>
      <c r="D14" s="18" t="s">
        <v>530</v>
      </c>
      <c r="G14" s="18" t="s">
        <v>531</v>
      </c>
    </row>
    <row r="15" spans="1:9" ht="31.2">
      <c r="A15" s="18" t="s">
        <v>534</v>
      </c>
      <c r="B15" s="47" t="s">
        <v>535</v>
      </c>
      <c r="C15" s="18" t="s">
        <v>529</v>
      </c>
      <c r="D15" s="18" t="s">
        <v>530</v>
      </c>
      <c r="G15" s="18" t="s">
        <v>531</v>
      </c>
    </row>
    <row r="16" spans="1:9" ht="31.2">
      <c r="A16" s="18" t="s">
        <v>536</v>
      </c>
      <c r="B16" s="47" t="s">
        <v>537</v>
      </c>
      <c r="C16" s="18" t="s">
        <v>529</v>
      </c>
      <c r="D16" s="18" t="s">
        <v>530</v>
      </c>
      <c r="G16" s="18" t="s">
        <v>531</v>
      </c>
    </row>
    <row r="17" spans="1:7" ht="31.2">
      <c r="A17" s="18" t="s">
        <v>538</v>
      </c>
      <c r="B17" s="47" t="s">
        <v>539</v>
      </c>
      <c r="C17" s="18" t="s">
        <v>529</v>
      </c>
      <c r="D17" s="18" t="s">
        <v>530</v>
      </c>
      <c r="G17" s="18" t="s">
        <v>531</v>
      </c>
    </row>
    <row r="18" spans="1:7" ht="31.2">
      <c r="A18" s="18" t="s">
        <v>540</v>
      </c>
      <c r="B18" s="47" t="s">
        <v>541</v>
      </c>
      <c r="C18" s="18" t="s">
        <v>529</v>
      </c>
      <c r="D18" s="18" t="s">
        <v>530</v>
      </c>
      <c r="G18" s="18" t="s">
        <v>531</v>
      </c>
    </row>
    <row r="19" spans="1:7" ht="31.2">
      <c r="A19" s="18" t="s">
        <v>542</v>
      </c>
      <c r="B19" s="47" t="s">
        <v>543</v>
      </c>
      <c r="C19" s="18" t="s">
        <v>304</v>
      </c>
      <c r="D19" s="18" t="s">
        <v>544</v>
      </c>
      <c r="F19" s="18" t="s">
        <v>443</v>
      </c>
      <c r="G19" s="18" t="s">
        <v>531</v>
      </c>
    </row>
    <row r="20" spans="1:7" ht="31.2">
      <c r="A20" s="18" t="s">
        <v>545</v>
      </c>
      <c r="B20" s="47" t="s">
        <v>546</v>
      </c>
      <c r="C20" s="18" t="s">
        <v>304</v>
      </c>
      <c r="D20" s="18" t="s">
        <v>229</v>
      </c>
      <c r="F20" s="18" t="s">
        <v>547</v>
      </c>
      <c r="G20" s="18" t="s">
        <v>531</v>
      </c>
    </row>
    <row r="21" spans="1:7" ht="31.2">
      <c r="A21" s="18" t="s">
        <v>548</v>
      </c>
      <c r="B21" s="47" t="s">
        <v>549</v>
      </c>
      <c r="C21" s="18" t="s">
        <v>304</v>
      </c>
      <c r="D21" s="18" t="s">
        <v>550</v>
      </c>
      <c r="F21" s="18" t="s">
        <v>396</v>
      </c>
      <c r="G21" s="18" t="s">
        <v>531</v>
      </c>
    </row>
    <row r="22" spans="1:7" ht="31.2">
      <c r="A22" s="18" t="s">
        <v>551</v>
      </c>
      <c r="B22" s="47" t="s">
        <v>552</v>
      </c>
      <c r="C22" s="18" t="s">
        <v>304</v>
      </c>
      <c r="D22" s="18" t="s">
        <v>550</v>
      </c>
      <c r="F22" s="18" t="s">
        <v>396</v>
      </c>
      <c r="G22" s="18" t="s">
        <v>531</v>
      </c>
    </row>
    <row r="23" spans="1:7" ht="31.2">
      <c r="A23" s="18" t="s">
        <v>553</v>
      </c>
      <c r="B23" s="47" t="s">
        <v>554</v>
      </c>
      <c r="C23" s="18" t="s">
        <v>304</v>
      </c>
      <c r="D23" s="18" t="s">
        <v>550</v>
      </c>
      <c r="F23" s="18" t="s">
        <v>555</v>
      </c>
      <c r="G23" s="18" t="s">
        <v>556</v>
      </c>
    </row>
    <row r="24" spans="1:7" ht="31.2">
      <c r="A24" s="18" t="s">
        <v>557</v>
      </c>
      <c r="B24" s="47" t="s">
        <v>558</v>
      </c>
      <c r="C24" s="18" t="s">
        <v>304</v>
      </c>
      <c r="D24" s="18" t="s">
        <v>550</v>
      </c>
      <c r="F24" s="18" t="s">
        <v>555</v>
      </c>
      <c r="G24" s="18" t="s">
        <v>531</v>
      </c>
    </row>
    <row r="25" spans="1:7" ht="31.2">
      <c r="A25" s="18" t="s">
        <v>559</v>
      </c>
      <c r="B25" s="47" t="s">
        <v>560</v>
      </c>
      <c r="C25" s="18" t="s">
        <v>304</v>
      </c>
      <c r="D25" s="18" t="s">
        <v>550</v>
      </c>
      <c r="F25" s="18" t="s">
        <v>555</v>
      </c>
    </row>
    <row r="26" spans="1:7" ht="31.2">
      <c r="A26" s="18" t="s">
        <v>561</v>
      </c>
      <c r="B26" s="47" t="s">
        <v>560</v>
      </c>
      <c r="C26" s="18" t="s">
        <v>304</v>
      </c>
      <c r="D26" s="18" t="s">
        <v>550</v>
      </c>
      <c r="F26" s="18" t="s">
        <v>555</v>
      </c>
    </row>
    <row r="27" spans="1:7" ht="31.2">
      <c r="A27" s="18" t="s">
        <v>562</v>
      </c>
      <c r="B27" s="47" t="s">
        <v>563</v>
      </c>
      <c r="C27" s="18" t="s">
        <v>304</v>
      </c>
      <c r="D27" s="18" t="s">
        <v>564</v>
      </c>
      <c r="F27" s="18" t="s">
        <v>302</v>
      </c>
      <c r="G27" s="18" t="s">
        <v>556</v>
      </c>
    </row>
    <row r="28" spans="1:7">
      <c r="A28" s="18" t="s">
        <v>565</v>
      </c>
      <c r="B28" s="47" t="s">
        <v>566</v>
      </c>
      <c r="C28" s="18" t="s">
        <v>304</v>
      </c>
      <c r="D28" s="18" t="s">
        <v>564</v>
      </c>
      <c r="F28" s="18" t="s">
        <v>567</v>
      </c>
      <c r="G28" s="18" t="s">
        <v>556</v>
      </c>
    </row>
    <row r="29" spans="1:7" ht="31.2">
      <c r="A29" s="18" t="s">
        <v>568</v>
      </c>
      <c r="B29" s="47" t="s">
        <v>569</v>
      </c>
      <c r="C29" s="18" t="s">
        <v>304</v>
      </c>
      <c r="D29" s="18" t="s">
        <v>272</v>
      </c>
    </row>
    <row r="30" spans="1:7" ht="31.2">
      <c r="A30" s="18" t="s">
        <v>570</v>
      </c>
      <c r="B30" s="47" t="s">
        <v>571</v>
      </c>
      <c r="C30" s="18" t="s">
        <v>304</v>
      </c>
      <c r="D30" s="18" t="s">
        <v>272</v>
      </c>
    </row>
    <row r="31" spans="1:7">
      <c r="A31" s="18" t="s">
        <v>572</v>
      </c>
      <c r="B31" s="47" t="s">
        <v>573</v>
      </c>
      <c r="C31" s="18" t="s">
        <v>304</v>
      </c>
      <c r="D31" s="18" t="s">
        <v>574</v>
      </c>
      <c r="F31" s="18" t="s">
        <v>575</v>
      </c>
      <c r="G31" s="18" t="s">
        <v>531</v>
      </c>
    </row>
    <row r="32" spans="1:7" ht="31.2">
      <c r="A32" s="18" t="s">
        <v>576</v>
      </c>
      <c r="B32" s="47" t="s">
        <v>577</v>
      </c>
      <c r="C32" s="18" t="s">
        <v>304</v>
      </c>
      <c r="D32" s="18" t="s">
        <v>574</v>
      </c>
      <c r="F32" s="18" t="s">
        <v>575</v>
      </c>
      <c r="G32" s="18" t="s">
        <v>531</v>
      </c>
    </row>
    <row r="33" spans="1:7" ht="31.2">
      <c r="A33" s="18" t="s">
        <v>578</v>
      </c>
      <c r="B33" s="47" t="s">
        <v>579</v>
      </c>
      <c r="C33" s="18" t="s">
        <v>304</v>
      </c>
      <c r="D33" s="18" t="s">
        <v>574</v>
      </c>
      <c r="F33" s="18" t="s">
        <v>575</v>
      </c>
      <c r="G33" s="18" t="s">
        <v>531</v>
      </c>
    </row>
    <row r="34" spans="1:7" ht="31.2">
      <c r="A34" s="18" t="s">
        <v>580</v>
      </c>
      <c r="B34" s="47" t="s">
        <v>581</v>
      </c>
      <c r="C34" s="18" t="s">
        <v>304</v>
      </c>
      <c r="D34" s="18" t="s">
        <v>574</v>
      </c>
      <c r="F34" s="18" t="s">
        <v>575</v>
      </c>
      <c r="G34" s="18" t="s">
        <v>531</v>
      </c>
    </row>
    <row r="35" spans="1:7" ht="31.2">
      <c r="A35" s="18" t="s">
        <v>582</v>
      </c>
      <c r="B35" s="47" t="s">
        <v>583</v>
      </c>
      <c r="C35" s="18" t="s">
        <v>304</v>
      </c>
      <c r="D35" s="18" t="s">
        <v>574</v>
      </c>
      <c r="F35" s="18" t="s">
        <v>575</v>
      </c>
      <c r="G35" s="18" t="s">
        <v>531</v>
      </c>
    </row>
    <row r="36" spans="1:7" ht="31.2">
      <c r="A36" s="18" t="s">
        <v>584</v>
      </c>
      <c r="B36" s="47" t="s">
        <v>585</v>
      </c>
      <c r="C36" s="18" t="s">
        <v>304</v>
      </c>
      <c r="D36" s="18" t="s">
        <v>272</v>
      </c>
      <c r="G36" s="18" t="s">
        <v>531</v>
      </c>
    </row>
    <row r="37" spans="1:7" ht="31.2">
      <c r="A37" s="18" t="s">
        <v>586</v>
      </c>
      <c r="B37" s="47" t="s">
        <v>587</v>
      </c>
      <c r="C37" s="18" t="s">
        <v>304</v>
      </c>
      <c r="D37" s="18" t="s">
        <v>272</v>
      </c>
      <c r="F37" s="18" t="s">
        <v>555</v>
      </c>
      <c r="G37" s="18" t="s">
        <v>588</v>
      </c>
    </row>
    <row r="38" spans="1:7" ht="31.2">
      <c r="A38" s="18" t="s">
        <v>589</v>
      </c>
      <c r="B38" s="47" t="s">
        <v>590</v>
      </c>
      <c r="C38" s="18" t="s">
        <v>304</v>
      </c>
      <c r="D38" s="18" t="s">
        <v>591</v>
      </c>
      <c r="F38" s="18" t="s">
        <v>588</v>
      </c>
      <c r="G38" s="18" t="s">
        <v>588</v>
      </c>
    </row>
    <row r="39" spans="1:7">
      <c r="A39" s="18" t="s">
        <v>592</v>
      </c>
      <c r="B39" s="47" t="s">
        <v>593</v>
      </c>
      <c r="C39" s="18" t="s">
        <v>304</v>
      </c>
      <c r="D39" s="18" t="s">
        <v>591</v>
      </c>
      <c r="F39" s="18" t="s">
        <v>588</v>
      </c>
    </row>
    <row r="40" spans="1:7" ht="31.2">
      <c r="A40" s="18" t="s">
        <v>594</v>
      </c>
      <c r="B40" s="47" t="s">
        <v>595</v>
      </c>
      <c r="C40" s="18" t="s">
        <v>304</v>
      </c>
      <c r="D40" s="18" t="s">
        <v>596</v>
      </c>
      <c r="F40" s="18" t="s">
        <v>531</v>
      </c>
    </row>
    <row r="41" spans="1:7">
      <c r="A41" s="18" t="s">
        <v>597</v>
      </c>
      <c r="B41" s="47" t="s">
        <v>598</v>
      </c>
      <c r="C41" s="18" t="s">
        <v>304</v>
      </c>
      <c r="D41" s="18" t="s">
        <v>596</v>
      </c>
      <c r="F41" s="18" t="s">
        <v>531</v>
      </c>
      <c r="G41" s="18" t="s">
        <v>588</v>
      </c>
    </row>
    <row r="42" spans="1:7">
      <c r="A42" s="18" t="s">
        <v>599</v>
      </c>
      <c r="B42" s="47" t="s">
        <v>600</v>
      </c>
      <c r="C42" s="18" t="s">
        <v>304</v>
      </c>
      <c r="D42" s="18" t="s">
        <v>596</v>
      </c>
      <c r="F42" s="18" t="s">
        <v>601</v>
      </c>
      <c r="G42" s="18" t="s">
        <v>588</v>
      </c>
    </row>
    <row r="43" spans="1:7" ht="31.2">
      <c r="A43" s="18" t="s">
        <v>602</v>
      </c>
      <c r="B43" s="47" t="s">
        <v>603</v>
      </c>
      <c r="C43" s="18" t="s">
        <v>304</v>
      </c>
      <c r="D43" s="18" t="s">
        <v>596</v>
      </c>
      <c r="F43" s="18" t="s">
        <v>604</v>
      </c>
      <c r="G43" s="18" t="s">
        <v>588</v>
      </c>
    </row>
    <row r="44" spans="1:7" ht="31.2">
      <c r="A44" s="18" t="s">
        <v>605</v>
      </c>
      <c r="B44" s="47" t="s">
        <v>606</v>
      </c>
      <c r="C44" s="18" t="s">
        <v>304</v>
      </c>
      <c r="D44" s="18" t="s">
        <v>596</v>
      </c>
      <c r="F44" s="18" t="s">
        <v>607</v>
      </c>
      <c r="G44" s="18" t="s">
        <v>588</v>
      </c>
    </row>
    <row r="45" spans="1:7" ht="31.2">
      <c r="A45" s="18" t="s">
        <v>608</v>
      </c>
      <c r="B45" s="47" t="s">
        <v>609</v>
      </c>
      <c r="C45" s="18" t="s">
        <v>304</v>
      </c>
      <c r="D45" s="18" t="s">
        <v>239</v>
      </c>
      <c r="F45" s="18" t="s">
        <v>610</v>
      </c>
      <c r="G45" s="18" t="s">
        <v>588</v>
      </c>
    </row>
    <row r="46" spans="1:7">
      <c r="A46" s="18" t="s">
        <v>611</v>
      </c>
      <c r="B46" s="47" t="s">
        <v>612</v>
      </c>
      <c r="C46" s="18" t="s">
        <v>304</v>
      </c>
      <c r="D46" s="18" t="s">
        <v>613</v>
      </c>
      <c r="F46" s="18" t="s">
        <v>588</v>
      </c>
      <c r="G46" s="18" t="s">
        <v>588</v>
      </c>
    </row>
    <row r="47" spans="1:7" ht="31.2">
      <c r="A47" s="18" t="s">
        <v>614</v>
      </c>
      <c r="B47" s="47" t="s">
        <v>615</v>
      </c>
      <c r="C47" s="18" t="s">
        <v>304</v>
      </c>
      <c r="D47" s="18" t="s">
        <v>239</v>
      </c>
      <c r="F47" s="18" t="s">
        <v>588</v>
      </c>
      <c r="G47" s="18" t="s">
        <v>588</v>
      </c>
    </row>
    <row r="48" spans="1:7" ht="31.2">
      <c r="A48" s="18" t="s">
        <v>616</v>
      </c>
      <c r="B48" s="47" t="s">
        <v>617</v>
      </c>
      <c r="C48" s="18" t="s">
        <v>304</v>
      </c>
      <c r="D48" s="18" t="s">
        <v>239</v>
      </c>
      <c r="F48" s="18" t="s">
        <v>531</v>
      </c>
      <c r="G48" s="18" t="s">
        <v>531</v>
      </c>
    </row>
    <row r="49" spans="1:7" ht="31.2">
      <c r="A49" s="18" t="s">
        <v>618</v>
      </c>
      <c r="B49" s="47" t="s">
        <v>619</v>
      </c>
      <c r="C49" s="18" t="s">
        <v>304</v>
      </c>
      <c r="D49" s="18" t="s">
        <v>239</v>
      </c>
      <c r="F49" s="18" t="s">
        <v>601</v>
      </c>
      <c r="G49" s="18" t="s">
        <v>531</v>
      </c>
    </row>
    <row r="50" spans="1:7" ht="31.2">
      <c r="A50" s="18" t="s">
        <v>620</v>
      </c>
      <c r="B50" s="47" t="s">
        <v>621</v>
      </c>
      <c r="C50" s="18" t="s">
        <v>304</v>
      </c>
      <c r="D50" s="18" t="s">
        <v>239</v>
      </c>
      <c r="F50" s="18" t="s">
        <v>555</v>
      </c>
      <c r="G50" s="18" t="s">
        <v>531</v>
      </c>
    </row>
    <row r="51" spans="1:7" ht="31.2">
      <c r="A51" s="18" t="s">
        <v>622</v>
      </c>
      <c r="B51" s="47" t="s">
        <v>623</v>
      </c>
      <c r="C51" s="18" t="s">
        <v>304</v>
      </c>
      <c r="D51" s="18" t="s">
        <v>239</v>
      </c>
      <c r="F51" s="18" t="s">
        <v>607</v>
      </c>
      <c r="G51" s="18" t="s">
        <v>531</v>
      </c>
    </row>
    <row r="52" spans="1:7" ht="31.2">
      <c r="A52" s="18" t="s">
        <v>624</v>
      </c>
      <c r="B52" s="47" t="s">
        <v>625</v>
      </c>
      <c r="C52" s="18" t="s">
        <v>304</v>
      </c>
      <c r="D52" s="18" t="s">
        <v>239</v>
      </c>
      <c r="F52" s="18" t="s">
        <v>396</v>
      </c>
      <c r="G52" s="18" t="s">
        <v>531</v>
      </c>
    </row>
    <row r="53" spans="1:7" ht="31.2">
      <c r="A53" s="18" t="s">
        <v>626</v>
      </c>
      <c r="B53" s="47" t="s">
        <v>627</v>
      </c>
      <c r="C53" s="18" t="s">
        <v>529</v>
      </c>
      <c r="D53" s="18" t="s">
        <v>628</v>
      </c>
      <c r="F53" s="18" t="s">
        <v>588</v>
      </c>
    </row>
    <row r="54" spans="1:7" ht="31.2">
      <c r="A54" s="18" t="s">
        <v>629</v>
      </c>
      <c r="B54" s="47" t="s">
        <v>630</v>
      </c>
      <c r="C54" s="18" t="s">
        <v>529</v>
      </c>
      <c r="D54" s="18" t="s">
        <v>631</v>
      </c>
      <c r="F54" s="18" t="s">
        <v>588</v>
      </c>
    </row>
    <row r="55" spans="1:7">
      <c r="A55" s="18" t="s">
        <v>632</v>
      </c>
      <c r="B55" s="47" t="s">
        <v>633</v>
      </c>
      <c r="C55" s="18" t="s">
        <v>304</v>
      </c>
      <c r="D55" s="18" t="s">
        <v>634</v>
      </c>
      <c r="F55" s="18" t="s">
        <v>588</v>
      </c>
    </row>
    <row r="56" spans="1:7" ht="31.2">
      <c r="A56" s="18" t="s">
        <v>635</v>
      </c>
      <c r="B56" s="47" t="s">
        <v>636</v>
      </c>
      <c r="C56" s="18" t="s">
        <v>304</v>
      </c>
      <c r="D56" s="18" t="s">
        <v>634</v>
      </c>
      <c r="F56" s="18" t="s">
        <v>588</v>
      </c>
    </row>
    <row r="57" spans="1:7" ht="31.2">
      <c r="A57" s="18" t="s">
        <v>637</v>
      </c>
      <c r="B57" s="47" t="s">
        <v>638</v>
      </c>
      <c r="C57" s="18" t="s">
        <v>304</v>
      </c>
      <c r="D57" s="18" t="s">
        <v>634</v>
      </c>
      <c r="F57" s="18" t="s">
        <v>588</v>
      </c>
    </row>
    <row r="58" spans="1:7" ht="31.2">
      <c r="A58" s="18" t="s">
        <v>639</v>
      </c>
      <c r="B58" s="47" t="s">
        <v>640</v>
      </c>
      <c r="C58" s="18" t="s">
        <v>304</v>
      </c>
      <c r="D58" s="18" t="s">
        <v>634</v>
      </c>
      <c r="F58" s="18" t="s">
        <v>588</v>
      </c>
    </row>
    <row r="59" spans="1:7" ht="31.2">
      <c r="A59" s="18" t="s">
        <v>641</v>
      </c>
      <c r="B59" s="47" t="s">
        <v>642</v>
      </c>
      <c r="C59" s="18" t="s">
        <v>304</v>
      </c>
      <c r="D59" s="18" t="s">
        <v>232</v>
      </c>
      <c r="F59" s="18" t="s">
        <v>575</v>
      </c>
    </row>
    <row r="60" spans="1:7">
      <c r="A60" s="18" t="s">
        <v>643</v>
      </c>
      <c r="B60" s="47" t="s">
        <v>644</v>
      </c>
      <c r="C60" s="18" t="s">
        <v>304</v>
      </c>
      <c r="D60" s="18" t="s">
        <v>273</v>
      </c>
      <c r="F60" s="18" t="s">
        <v>601</v>
      </c>
      <c r="G60" s="18" t="s">
        <v>645</v>
      </c>
    </row>
    <row r="61" spans="1:7" ht="31.2">
      <c r="A61" s="18" t="s">
        <v>646</v>
      </c>
      <c r="B61" s="47" t="s">
        <v>497</v>
      </c>
      <c r="C61" s="18" t="s">
        <v>304</v>
      </c>
      <c r="D61" s="18" t="s">
        <v>273</v>
      </c>
      <c r="F61" s="18" t="s">
        <v>610</v>
      </c>
      <c r="G61" s="18" t="s">
        <v>645</v>
      </c>
    </row>
    <row r="62" spans="1:7">
      <c r="A62" s="18" t="s">
        <v>647</v>
      </c>
      <c r="B62" s="47" t="s">
        <v>648</v>
      </c>
      <c r="C62" s="18" t="s">
        <v>304</v>
      </c>
      <c r="D62" s="18" t="s">
        <v>273</v>
      </c>
      <c r="F62" s="18" t="s">
        <v>601</v>
      </c>
      <c r="G62" s="18" t="s">
        <v>396</v>
      </c>
    </row>
    <row r="63" spans="1:7" ht="31.2">
      <c r="A63" s="18" t="s">
        <v>649</v>
      </c>
      <c r="B63" s="47" t="s">
        <v>650</v>
      </c>
      <c r="C63" s="18" t="s">
        <v>304</v>
      </c>
      <c r="D63" s="18" t="s">
        <v>273</v>
      </c>
      <c r="F63" s="18" t="s">
        <v>610</v>
      </c>
      <c r="G63" s="18" t="s">
        <v>651</v>
      </c>
    </row>
    <row r="64" spans="1:7" ht="31.2">
      <c r="A64" s="18" t="s">
        <v>652</v>
      </c>
      <c r="B64" s="47" t="s">
        <v>500</v>
      </c>
      <c r="C64" s="18" t="s">
        <v>304</v>
      </c>
      <c r="D64" s="18" t="s">
        <v>229</v>
      </c>
      <c r="F64" s="18" t="s">
        <v>653</v>
      </c>
      <c r="G64" s="18" t="s">
        <v>555</v>
      </c>
    </row>
    <row r="65" spans="1:7" ht="31.2">
      <c r="A65" s="18" t="s">
        <v>654</v>
      </c>
      <c r="B65" s="47" t="s">
        <v>655</v>
      </c>
      <c r="C65" s="18" t="s">
        <v>304</v>
      </c>
      <c r="D65" s="18" t="s">
        <v>277</v>
      </c>
      <c r="F65" s="18" t="s">
        <v>504</v>
      </c>
      <c r="G65" s="18" t="s">
        <v>555</v>
      </c>
    </row>
    <row r="66" spans="1:7" ht="31.2">
      <c r="A66" s="18" t="s">
        <v>656</v>
      </c>
      <c r="B66" s="47" t="s">
        <v>657</v>
      </c>
      <c r="C66" s="18" t="s">
        <v>304</v>
      </c>
      <c r="D66" s="18" t="s">
        <v>277</v>
      </c>
      <c r="G66" s="18" t="s">
        <v>555</v>
      </c>
    </row>
    <row r="67" spans="1:7">
      <c r="A67" s="18" t="s">
        <v>658</v>
      </c>
      <c r="B67" s="47"/>
      <c r="C67" s="18" t="s">
        <v>304</v>
      </c>
      <c r="G67" s="18" t="s">
        <v>555</v>
      </c>
    </row>
    <row r="68" spans="1:7">
      <c r="A68" s="18" t="s">
        <v>659</v>
      </c>
      <c r="B68" s="47" t="s">
        <v>660</v>
      </c>
      <c r="C68" s="18" t="s">
        <v>304</v>
      </c>
      <c r="D68" s="18" t="s">
        <v>277</v>
      </c>
      <c r="G68" s="18" t="s">
        <v>555</v>
      </c>
    </row>
    <row r="69" spans="1:7" ht="31.2">
      <c r="A69" s="18" t="s">
        <v>661</v>
      </c>
      <c r="B69" s="47" t="s">
        <v>662</v>
      </c>
      <c r="C69" s="18" t="s">
        <v>304</v>
      </c>
      <c r="D69" s="18" t="s">
        <v>663</v>
      </c>
      <c r="F69" s="18" t="s">
        <v>382</v>
      </c>
    </row>
    <row r="70" spans="1:7" ht="62.4">
      <c r="A70" s="18" t="s">
        <v>664</v>
      </c>
      <c r="B70" s="47" t="s">
        <v>665</v>
      </c>
      <c r="C70" s="18" t="s">
        <v>304</v>
      </c>
      <c r="D70" s="18" t="s">
        <v>256</v>
      </c>
      <c r="F70" s="18" t="s">
        <v>666</v>
      </c>
    </row>
    <row r="71" spans="1:7" ht="62.4">
      <c r="A71" s="18" t="s">
        <v>667</v>
      </c>
      <c r="B71" s="47" t="s">
        <v>668</v>
      </c>
      <c r="C71" s="18" t="s">
        <v>304</v>
      </c>
      <c r="D71" s="18" t="s">
        <v>256</v>
      </c>
      <c r="F71" s="18" t="s">
        <v>382</v>
      </c>
    </row>
    <row r="72" spans="1:7">
      <c r="A72" s="18" t="s">
        <v>669</v>
      </c>
      <c r="B72" s="47" t="s">
        <v>670</v>
      </c>
      <c r="C72" s="18" t="s">
        <v>304</v>
      </c>
      <c r="D72" s="18" t="s">
        <v>256</v>
      </c>
      <c r="F72" s="18" t="s">
        <v>610</v>
      </c>
    </row>
    <row r="73" spans="1:7">
      <c r="A73" s="18" t="s">
        <v>671</v>
      </c>
      <c r="B73" s="47" t="s">
        <v>672</v>
      </c>
      <c r="C73" s="18" t="s">
        <v>304</v>
      </c>
      <c r="D73" s="18" t="s">
        <v>256</v>
      </c>
      <c r="F73" s="18" t="s">
        <v>601</v>
      </c>
    </row>
    <row r="74" spans="1:7" ht="31.2">
      <c r="A74" s="18" t="s">
        <v>673</v>
      </c>
      <c r="B74" s="47" t="s">
        <v>674</v>
      </c>
      <c r="C74" s="18" t="s">
        <v>304</v>
      </c>
      <c r="D74" s="18" t="s">
        <v>256</v>
      </c>
      <c r="F74" s="18" t="s">
        <v>675</v>
      </c>
    </row>
    <row r="75" spans="1:7">
      <c r="A75" s="18" t="s">
        <v>676</v>
      </c>
      <c r="B75" s="47" t="s">
        <v>677</v>
      </c>
      <c r="C75" s="18" t="s">
        <v>304</v>
      </c>
      <c r="D75" s="18" t="s">
        <v>678</v>
      </c>
    </row>
    <row r="76" spans="1:7" ht="31.2">
      <c r="A76" s="18" t="s">
        <v>679</v>
      </c>
      <c r="B76" s="47" t="s">
        <v>680</v>
      </c>
      <c r="C76" s="18" t="s">
        <v>304</v>
      </c>
      <c r="D76" s="18" t="s">
        <v>511</v>
      </c>
    </row>
    <row r="77" spans="1:7" ht="31.2">
      <c r="A77" s="18" t="s">
        <v>681</v>
      </c>
      <c r="B77" s="106" t="s">
        <v>682</v>
      </c>
      <c r="C77" s="18" t="s">
        <v>304</v>
      </c>
      <c r="D77" s="18" t="s">
        <v>511</v>
      </c>
    </row>
    <row r="78" spans="1:7">
      <c r="A78" s="18" t="s">
        <v>683</v>
      </c>
      <c r="B78" s="47" t="s">
        <v>684</v>
      </c>
      <c r="C78" s="18" t="s">
        <v>304</v>
      </c>
      <c r="D78" s="18" t="s">
        <v>663</v>
      </c>
    </row>
    <row r="79" spans="1:7">
      <c r="A79" s="18" t="s">
        <v>685</v>
      </c>
      <c r="B79" s="47" t="s">
        <v>677</v>
      </c>
      <c r="C79" s="18" t="s">
        <v>529</v>
      </c>
      <c r="D79" s="18" t="s">
        <v>686</v>
      </c>
      <c r="G79" s="18" t="s">
        <v>687</v>
      </c>
    </row>
    <row r="80" spans="1:7">
      <c r="A80" s="18" t="s">
        <v>688</v>
      </c>
      <c r="B80" s="47" t="s">
        <v>689</v>
      </c>
      <c r="C80" s="18" t="s">
        <v>304</v>
      </c>
      <c r="D80" s="18" t="s">
        <v>283</v>
      </c>
      <c r="F80" s="18" t="s">
        <v>601</v>
      </c>
      <c r="G80" s="18" t="s">
        <v>687</v>
      </c>
    </row>
    <row r="81" spans="1:7" ht="31.2">
      <c r="A81" s="18" t="s">
        <v>690</v>
      </c>
      <c r="B81" s="47" t="s">
        <v>691</v>
      </c>
      <c r="C81" s="18" t="s">
        <v>304</v>
      </c>
      <c r="D81" s="18" t="s">
        <v>283</v>
      </c>
      <c r="F81" s="18" t="s">
        <v>653</v>
      </c>
      <c r="G81" s="18" t="s">
        <v>687</v>
      </c>
    </row>
    <row r="82" spans="1:7">
      <c r="A82" s="18" t="s">
        <v>692</v>
      </c>
      <c r="B82" s="47" t="s">
        <v>677</v>
      </c>
      <c r="C82" s="18" t="s">
        <v>304</v>
      </c>
      <c r="D82" s="18" t="s">
        <v>283</v>
      </c>
    </row>
    <row r="83" spans="1:7" ht="31.2">
      <c r="A83" s="18" t="s">
        <v>693</v>
      </c>
      <c r="B83" s="47" t="s">
        <v>694</v>
      </c>
      <c r="C83" s="18" t="s">
        <v>304</v>
      </c>
      <c r="D83" s="18" t="s">
        <v>695</v>
      </c>
      <c r="G83" s="18" t="s">
        <v>370</v>
      </c>
    </row>
    <row r="84" spans="1:7" ht="31.2">
      <c r="A84" s="18" t="s">
        <v>696</v>
      </c>
      <c r="B84" s="47" t="s">
        <v>697</v>
      </c>
      <c r="C84" s="18" t="s">
        <v>304</v>
      </c>
      <c r="D84" s="18" t="s">
        <v>695</v>
      </c>
      <c r="G84" s="18" t="s">
        <v>372</v>
      </c>
    </row>
    <row r="85" spans="1:7" ht="31.2">
      <c r="A85" s="18" t="s">
        <v>698</v>
      </c>
      <c r="B85" s="47" t="s">
        <v>699</v>
      </c>
      <c r="C85" s="18" t="s">
        <v>304</v>
      </c>
      <c r="D85" s="18" t="s">
        <v>700</v>
      </c>
      <c r="F85" s="18" t="s">
        <v>701</v>
      </c>
      <c r="G85" s="18" t="s">
        <v>531</v>
      </c>
    </row>
    <row r="86" spans="1:7">
      <c r="A86" s="18" t="s">
        <v>702</v>
      </c>
      <c r="B86" s="18" t="s">
        <v>703</v>
      </c>
      <c r="C86" s="18" t="s">
        <v>304</v>
      </c>
      <c r="D86" s="18" t="s">
        <v>704</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C3ACE-6607-4F19-820A-FC42C0CAA68A}">
  <sheetPr>
    <tabColor theme="0" tint="-0.14999847407452621"/>
  </sheetPr>
  <dimension ref="A1:I87"/>
  <sheetViews>
    <sheetView topLeftCell="B1" workbookViewId="0">
      <selection activeCell="D25" sqref="D25"/>
    </sheetView>
  </sheetViews>
  <sheetFormatPr defaultRowHeight="13.2"/>
  <cols>
    <col min="1" max="1" width="53.44140625" customWidth="1"/>
    <col min="2" max="2" width="154.44140625" customWidth="1"/>
    <col min="3" max="3" width="18.44140625" customWidth="1"/>
    <col min="4" max="4" width="38.109375" customWidth="1"/>
    <col min="5" max="5" width="22.44140625" customWidth="1"/>
    <col min="6" max="6" width="37.44140625" customWidth="1"/>
    <col min="7" max="7" width="18.5546875" customWidth="1"/>
    <col min="8" max="8" width="37.88671875" customWidth="1"/>
    <col min="9" max="9" width="18.88671875" customWidth="1"/>
  </cols>
  <sheetData>
    <row r="1" spans="1:9" ht="28.8">
      <c r="A1" s="256" t="s">
        <v>705</v>
      </c>
      <c r="B1" s="256" t="s">
        <v>706</v>
      </c>
      <c r="C1" s="256" t="s">
        <v>706</v>
      </c>
      <c r="D1" s="256" t="s">
        <v>706</v>
      </c>
      <c r="E1" s="256" t="s">
        <v>706</v>
      </c>
      <c r="F1" s="256" t="s">
        <v>706</v>
      </c>
      <c r="G1" s="256" t="s">
        <v>706</v>
      </c>
      <c r="H1" s="256" t="s">
        <v>706</v>
      </c>
      <c r="I1" s="256" t="s">
        <v>706</v>
      </c>
    </row>
    <row r="2" spans="1:9" ht="15.6">
      <c r="A2" s="53" t="s">
        <v>484</v>
      </c>
      <c r="B2" s="53" t="s">
        <v>485</v>
      </c>
      <c r="C2" s="45" t="s">
        <v>93</v>
      </c>
      <c r="D2" s="45" t="s">
        <v>486</v>
      </c>
      <c r="E2" s="45" t="s">
        <v>487</v>
      </c>
      <c r="F2" s="45" t="s">
        <v>488</v>
      </c>
      <c r="G2" s="45" t="s">
        <v>489</v>
      </c>
      <c r="H2" s="45" t="s">
        <v>333</v>
      </c>
      <c r="I2" s="45" t="s">
        <v>474</v>
      </c>
    </row>
    <row r="3" spans="1:9" ht="15.6">
      <c r="A3" s="18" t="s">
        <v>702</v>
      </c>
      <c r="B3" s="18" t="s">
        <v>703</v>
      </c>
      <c r="C3" s="18" t="s">
        <v>304</v>
      </c>
      <c r="D3" s="18" t="s">
        <v>704</v>
      </c>
      <c r="E3" s="18"/>
      <c r="F3" s="18"/>
      <c r="G3" s="18"/>
      <c r="H3" s="18"/>
      <c r="I3" s="18"/>
    </row>
    <row r="4" spans="1:9" ht="15.6">
      <c r="A4" s="47" t="s">
        <v>493</v>
      </c>
      <c r="B4" s="47" t="s">
        <v>494</v>
      </c>
      <c r="C4" s="18" t="s">
        <v>304</v>
      </c>
      <c r="D4" s="18" t="s">
        <v>273</v>
      </c>
      <c r="E4" s="18" t="s">
        <v>266</v>
      </c>
      <c r="F4" s="18" t="s">
        <v>495</v>
      </c>
      <c r="G4" s="18" t="s">
        <v>396</v>
      </c>
      <c r="H4" s="18"/>
      <c r="I4" s="18"/>
    </row>
    <row r="5" spans="1:9" ht="15.6">
      <c r="A5" s="18" t="s">
        <v>664</v>
      </c>
      <c r="B5" s="47" t="s">
        <v>665</v>
      </c>
      <c r="C5" s="18" t="s">
        <v>304</v>
      </c>
      <c r="D5" s="18" t="s">
        <v>256</v>
      </c>
      <c r="E5" s="18"/>
      <c r="F5" s="18" t="s">
        <v>666</v>
      </c>
      <c r="G5" s="18"/>
      <c r="H5" s="18"/>
      <c r="I5" s="18"/>
    </row>
    <row r="6" spans="1:9" ht="15.6">
      <c r="A6" s="18" t="s">
        <v>669</v>
      </c>
      <c r="B6" s="47" t="s">
        <v>670</v>
      </c>
      <c r="C6" s="18" t="s">
        <v>304</v>
      </c>
      <c r="D6" s="18" t="s">
        <v>256</v>
      </c>
      <c r="E6" s="18"/>
      <c r="F6" s="18" t="s">
        <v>610</v>
      </c>
      <c r="G6" s="18"/>
      <c r="H6" s="18"/>
      <c r="I6" s="18"/>
    </row>
    <row r="7" spans="1:9" ht="15.6">
      <c r="A7" s="18" t="s">
        <v>671</v>
      </c>
      <c r="B7" s="47" t="s">
        <v>672</v>
      </c>
      <c r="C7" s="18" t="s">
        <v>304</v>
      </c>
      <c r="D7" s="18" t="s">
        <v>256</v>
      </c>
      <c r="E7" s="18"/>
      <c r="F7" s="18" t="s">
        <v>601</v>
      </c>
      <c r="G7" s="18"/>
      <c r="H7" s="18"/>
      <c r="I7" s="18"/>
    </row>
    <row r="8" spans="1:9" ht="15.6">
      <c r="A8" s="18" t="s">
        <v>673</v>
      </c>
      <c r="B8" s="47" t="s">
        <v>674</v>
      </c>
      <c r="C8" s="18" t="s">
        <v>304</v>
      </c>
      <c r="D8" s="18" t="s">
        <v>256</v>
      </c>
      <c r="E8" s="18"/>
      <c r="F8" s="18" t="s">
        <v>675</v>
      </c>
      <c r="G8" s="18"/>
      <c r="H8" s="18"/>
      <c r="I8" s="18"/>
    </row>
    <row r="9" spans="1:9" ht="15.75" customHeight="1">
      <c r="A9" s="18" t="s">
        <v>667</v>
      </c>
      <c r="B9" s="47" t="s">
        <v>668</v>
      </c>
      <c r="C9" s="18" t="s">
        <v>304</v>
      </c>
      <c r="D9" s="18" t="s">
        <v>256</v>
      </c>
      <c r="E9" s="18"/>
      <c r="F9" s="18" t="s">
        <v>382</v>
      </c>
      <c r="G9" s="18"/>
      <c r="H9" s="18"/>
      <c r="I9" s="18"/>
    </row>
    <row r="10" spans="1:9" ht="15.6">
      <c r="A10" s="18" t="s">
        <v>661</v>
      </c>
      <c r="B10" s="47" t="s">
        <v>662</v>
      </c>
      <c r="C10" s="18" t="s">
        <v>304</v>
      </c>
      <c r="D10" s="18" t="s">
        <v>663</v>
      </c>
      <c r="E10" s="18"/>
      <c r="F10" s="18" t="s">
        <v>382</v>
      </c>
      <c r="G10" s="18"/>
      <c r="H10" s="18"/>
      <c r="I10" s="18"/>
    </row>
    <row r="11" spans="1:9" ht="15.6">
      <c r="A11" s="18" t="s">
        <v>676</v>
      </c>
      <c r="B11" s="47" t="s">
        <v>677</v>
      </c>
      <c r="C11" s="18" t="s">
        <v>304</v>
      </c>
      <c r="D11" s="18" t="s">
        <v>678</v>
      </c>
      <c r="E11" s="18"/>
      <c r="F11" s="18"/>
      <c r="G11" s="18"/>
      <c r="H11" s="18"/>
      <c r="I11" s="18"/>
    </row>
    <row r="12" spans="1:9" ht="15.6">
      <c r="A12" s="18" t="s">
        <v>685</v>
      </c>
      <c r="B12" s="47" t="s">
        <v>677</v>
      </c>
      <c r="C12" s="18" t="s">
        <v>529</v>
      </c>
      <c r="D12" s="18" t="s">
        <v>686</v>
      </c>
      <c r="E12" s="18"/>
      <c r="F12" s="18"/>
      <c r="G12" s="18" t="s">
        <v>687</v>
      </c>
      <c r="H12" s="18"/>
      <c r="I12" s="18"/>
    </row>
    <row r="13" spans="1:9" ht="15.6">
      <c r="A13" s="18" t="s">
        <v>683</v>
      </c>
      <c r="B13" s="47" t="s">
        <v>684</v>
      </c>
      <c r="C13" s="18" t="s">
        <v>304</v>
      </c>
      <c r="D13" s="18" t="s">
        <v>663</v>
      </c>
      <c r="E13" s="18"/>
      <c r="F13" s="18"/>
      <c r="G13" s="18"/>
      <c r="H13" s="18"/>
      <c r="I13" s="18"/>
    </row>
    <row r="14" spans="1:9" ht="15.6">
      <c r="A14" s="253" t="s">
        <v>681</v>
      </c>
      <c r="B14" s="106" t="s">
        <v>682</v>
      </c>
      <c r="C14" s="18" t="s">
        <v>304</v>
      </c>
      <c r="D14" s="18" t="s">
        <v>511</v>
      </c>
      <c r="E14" s="18"/>
      <c r="F14" s="18"/>
      <c r="G14" s="18"/>
      <c r="H14" s="18"/>
      <c r="I14" s="18"/>
    </row>
    <row r="15" spans="1:9" ht="15.6">
      <c r="A15" s="18" t="s">
        <v>679</v>
      </c>
      <c r="B15" s="47" t="s">
        <v>680</v>
      </c>
      <c r="C15" s="18" t="s">
        <v>304</v>
      </c>
      <c r="D15" s="18" t="s">
        <v>511</v>
      </c>
      <c r="E15" s="18"/>
      <c r="F15" s="18"/>
      <c r="G15" s="18"/>
      <c r="H15" s="18"/>
      <c r="I15" s="18"/>
    </row>
    <row r="16" spans="1:9" ht="15.6">
      <c r="A16" s="254" t="s">
        <v>522</v>
      </c>
      <c r="B16" s="254" t="s">
        <v>523</v>
      </c>
      <c r="C16" s="254" t="s">
        <v>304</v>
      </c>
      <c r="D16" s="254" t="s">
        <v>232</v>
      </c>
      <c r="E16" s="254" t="s">
        <v>524</v>
      </c>
      <c r="F16" s="254" t="s">
        <v>525</v>
      </c>
      <c r="G16" s="254" t="s">
        <v>526</v>
      </c>
      <c r="H16" s="254" t="s">
        <v>516</v>
      </c>
      <c r="I16" s="18"/>
    </row>
    <row r="17" spans="1:9" ht="15.6">
      <c r="A17" s="254" t="s">
        <v>519</v>
      </c>
      <c r="B17" s="254" t="s">
        <v>520</v>
      </c>
      <c r="C17" s="254" t="s">
        <v>304</v>
      </c>
      <c r="D17" s="254" t="s">
        <v>277</v>
      </c>
      <c r="E17" s="254"/>
      <c r="F17" s="254" t="s">
        <v>521</v>
      </c>
      <c r="G17" s="254" t="s">
        <v>417</v>
      </c>
      <c r="H17" s="254" t="s">
        <v>516</v>
      </c>
      <c r="I17" s="18"/>
    </row>
    <row r="18" spans="1:9" ht="15.6">
      <c r="A18" s="18" t="s">
        <v>559</v>
      </c>
      <c r="B18" s="47" t="s">
        <v>560</v>
      </c>
      <c r="C18" s="18" t="s">
        <v>304</v>
      </c>
      <c r="D18" s="18" t="s">
        <v>550</v>
      </c>
      <c r="E18" s="18"/>
      <c r="F18" s="18" t="s">
        <v>555</v>
      </c>
      <c r="G18" s="18"/>
      <c r="H18" s="18"/>
      <c r="I18" s="18"/>
    </row>
    <row r="19" spans="1:9" ht="15.6">
      <c r="A19" s="18" t="s">
        <v>561</v>
      </c>
      <c r="B19" s="47" t="s">
        <v>560</v>
      </c>
      <c r="C19" s="18" t="s">
        <v>304</v>
      </c>
      <c r="D19" s="18" t="s">
        <v>550</v>
      </c>
      <c r="E19" s="18"/>
      <c r="F19" s="18" t="s">
        <v>555</v>
      </c>
      <c r="G19" s="18"/>
      <c r="H19" s="18"/>
      <c r="I19" s="18"/>
    </row>
    <row r="20" spans="1:9" ht="15.6">
      <c r="A20" s="18" t="s">
        <v>553</v>
      </c>
      <c r="B20" s="47" t="s">
        <v>554</v>
      </c>
      <c r="C20" s="18" t="s">
        <v>304</v>
      </c>
      <c r="D20" s="18" t="s">
        <v>550</v>
      </c>
      <c r="E20" s="18"/>
      <c r="F20" s="18" t="s">
        <v>555</v>
      </c>
      <c r="G20" s="18" t="s">
        <v>556</v>
      </c>
      <c r="H20" s="18"/>
      <c r="I20" s="18"/>
    </row>
    <row r="21" spans="1:9" ht="15.6">
      <c r="A21" s="18" t="s">
        <v>557</v>
      </c>
      <c r="B21" s="47" t="s">
        <v>558</v>
      </c>
      <c r="C21" s="18" t="s">
        <v>304</v>
      </c>
      <c r="D21" s="18" t="s">
        <v>550</v>
      </c>
      <c r="E21" s="18"/>
      <c r="F21" s="18" t="s">
        <v>555</v>
      </c>
      <c r="G21" s="18" t="s">
        <v>531</v>
      </c>
      <c r="H21" s="18"/>
      <c r="I21" s="18"/>
    </row>
    <row r="22" spans="1:9" ht="15.6">
      <c r="A22" s="18" t="s">
        <v>527</v>
      </c>
      <c r="B22" s="47" t="s">
        <v>528</v>
      </c>
      <c r="C22" s="18" t="s">
        <v>529</v>
      </c>
      <c r="D22" s="18" t="s">
        <v>530</v>
      </c>
      <c r="E22" s="18"/>
      <c r="F22" s="18"/>
      <c r="G22" s="18" t="s">
        <v>531</v>
      </c>
      <c r="H22" s="18"/>
      <c r="I22" s="18"/>
    </row>
    <row r="23" spans="1:9" ht="15.6">
      <c r="A23" s="18" t="s">
        <v>532</v>
      </c>
      <c r="B23" s="47" t="s">
        <v>533</v>
      </c>
      <c r="C23" s="18" t="s">
        <v>529</v>
      </c>
      <c r="D23" s="18" t="s">
        <v>530</v>
      </c>
      <c r="E23" s="18"/>
      <c r="F23" s="18"/>
      <c r="G23" s="18" t="s">
        <v>531</v>
      </c>
      <c r="H23" s="18"/>
      <c r="I23" s="18"/>
    </row>
    <row r="24" spans="1:9" ht="15.6">
      <c r="A24" s="18" t="s">
        <v>534</v>
      </c>
      <c r="B24" s="47" t="s">
        <v>535</v>
      </c>
      <c r="C24" s="18" t="s">
        <v>529</v>
      </c>
      <c r="D24" s="18" t="s">
        <v>530</v>
      </c>
      <c r="E24" s="18"/>
      <c r="F24" s="18"/>
      <c r="G24" s="18" t="s">
        <v>531</v>
      </c>
      <c r="H24" s="18"/>
      <c r="I24" s="18"/>
    </row>
    <row r="25" spans="1:9" ht="15.6">
      <c r="A25" s="18" t="s">
        <v>538</v>
      </c>
      <c r="B25" s="47" t="s">
        <v>539</v>
      </c>
      <c r="C25" s="18" t="s">
        <v>529</v>
      </c>
      <c r="D25" s="18" t="s">
        <v>530</v>
      </c>
      <c r="E25" s="18"/>
      <c r="F25" s="18"/>
      <c r="G25" s="18" t="s">
        <v>531</v>
      </c>
      <c r="H25" s="18"/>
      <c r="I25" s="18"/>
    </row>
    <row r="26" spans="1:9" ht="15.6">
      <c r="A26" s="18" t="s">
        <v>536</v>
      </c>
      <c r="B26" s="47" t="s">
        <v>537</v>
      </c>
      <c r="C26" s="18" t="s">
        <v>529</v>
      </c>
      <c r="D26" s="18" t="s">
        <v>530</v>
      </c>
      <c r="E26" s="18"/>
      <c r="F26" s="18"/>
      <c r="G26" s="18" t="s">
        <v>531</v>
      </c>
      <c r="H26" s="18"/>
      <c r="I26" s="18"/>
    </row>
    <row r="27" spans="1:9" ht="15.6">
      <c r="A27" s="18" t="s">
        <v>540</v>
      </c>
      <c r="B27" s="47" t="s">
        <v>541</v>
      </c>
      <c r="C27" s="18" t="s">
        <v>529</v>
      </c>
      <c r="D27" s="18" t="s">
        <v>530</v>
      </c>
      <c r="E27" s="18"/>
      <c r="F27" s="18"/>
      <c r="G27" s="18" t="s">
        <v>531</v>
      </c>
      <c r="H27" s="18"/>
      <c r="I27" s="18"/>
    </row>
    <row r="28" spans="1:9" ht="15.6">
      <c r="A28" s="18" t="s">
        <v>568</v>
      </c>
      <c r="B28" s="47" t="s">
        <v>569</v>
      </c>
      <c r="C28" s="18" t="s">
        <v>304</v>
      </c>
      <c r="D28" s="18" t="s">
        <v>272</v>
      </c>
      <c r="E28" s="18"/>
      <c r="F28" s="18"/>
      <c r="G28" s="18"/>
      <c r="H28" s="18"/>
      <c r="I28" s="18"/>
    </row>
    <row r="29" spans="1:9" ht="15.6">
      <c r="A29" s="18" t="s">
        <v>584</v>
      </c>
      <c r="B29" s="47" t="s">
        <v>585</v>
      </c>
      <c r="C29" s="18" t="s">
        <v>304</v>
      </c>
      <c r="D29" s="18" t="s">
        <v>272</v>
      </c>
      <c r="E29" s="18"/>
      <c r="F29" s="18"/>
      <c r="G29" s="18" t="s">
        <v>531</v>
      </c>
      <c r="H29" s="18"/>
      <c r="I29" s="18"/>
    </row>
    <row r="30" spans="1:9" ht="15.6">
      <c r="A30" s="18" t="s">
        <v>570</v>
      </c>
      <c r="B30" s="47" t="s">
        <v>571</v>
      </c>
      <c r="C30" s="18" t="s">
        <v>304</v>
      </c>
      <c r="D30" s="18" t="s">
        <v>272</v>
      </c>
      <c r="E30" s="18"/>
      <c r="F30" s="18"/>
      <c r="G30" s="18"/>
      <c r="H30" s="18"/>
      <c r="I30" s="18"/>
    </row>
    <row r="31" spans="1:9" ht="15.6">
      <c r="A31" s="18" t="s">
        <v>586</v>
      </c>
      <c r="B31" s="47" t="s">
        <v>587</v>
      </c>
      <c r="C31" s="18" t="s">
        <v>304</v>
      </c>
      <c r="D31" s="18" t="s">
        <v>272</v>
      </c>
      <c r="E31" s="18"/>
      <c r="F31" s="18" t="s">
        <v>555</v>
      </c>
      <c r="G31" s="18" t="s">
        <v>588</v>
      </c>
      <c r="H31" s="18"/>
      <c r="I31" s="18"/>
    </row>
    <row r="32" spans="1:9" ht="15.6">
      <c r="A32" s="18" t="s">
        <v>565</v>
      </c>
      <c r="B32" s="47" t="s">
        <v>566</v>
      </c>
      <c r="C32" s="18" t="s">
        <v>304</v>
      </c>
      <c r="D32" s="18" t="s">
        <v>564</v>
      </c>
      <c r="E32" s="18"/>
      <c r="F32" s="18" t="s">
        <v>567</v>
      </c>
      <c r="G32" s="18" t="s">
        <v>556</v>
      </c>
      <c r="H32" s="18"/>
      <c r="I32" s="18"/>
    </row>
    <row r="33" spans="1:9" ht="15.6">
      <c r="A33" s="18" t="s">
        <v>548</v>
      </c>
      <c r="B33" s="47" t="s">
        <v>549</v>
      </c>
      <c r="C33" s="18" t="s">
        <v>304</v>
      </c>
      <c r="D33" s="18" t="s">
        <v>550</v>
      </c>
      <c r="E33" s="18"/>
      <c r="F33" s="18" t="s">
        <v>396</v>
      </c>
      <c r="G33" s="18" t="s">
        <v>531</v>
      </c>
      <c r="H33" s="18"/>
      <c r="I33" s="18"/>
    </row>
    <row r="34" spans="1:9" ht="15.6">
      <c r="A34" s="18" t="s">
        <v>551</v>
      </c>
      <c r="B34" s="47" t="s">
        <v>552</v>
      </c>
      <c r="C34" s="18" t="s">
        <v>304</v>
      </c>
      <c r="D34" s="18" t="s">
        <v>550</v>
      </c>
      <c r="E34" s="18"/>
      <c r="F34" s="18" t="s">
        <v>396</v>
      </c>
      <c r="G34" s="18" t="s">
        <v>531</v>
      </c>
      <c r="H34" s="18"/>
      <c r="I34" s="18"/>
    </row>
    <row r="35" spans="1:9" ht="15.6">
      <c r="A35" s="18" t="s">
        <v>545</v>
      </c>
      <c r="B35" s="47" t="s">
        <v>546</v>
      </c>
      <c r="C35" s="18" t="s">
        <v>304</v>
      </c>
      <c r="D35" s="18" t="s">
        <v>229</v>
      </c>
      <c r="E35" s="18"/>
      <c r="F35" s="18" t="s">
        <v>547</v>
      </c>
      <c r="G35" s="18" t="s">
        <v>531</v>
      </c>
      <c r="H35" s="18"/>
      <c r="I35" s="18"/>
    </row>
    <row r="36" spans="1:9" ht="15.6">
      <c r="A36" s="18" t="s">
        <v>542</v>
      </c>
      <c r="B36" s="47" t="s">
        <v>543</v>
      </c>
      <c r="C36" s="18" t="s">
        <v>304</v>
      </c>
      <c r="D36" s="18" t="s">
        <v>544</v>
      </c>
      <c r="E36" s="18"/>
      <c r="F36" s="18" t="s">
        <v>443</v>
      </c>
      <c r="G36" s="18" t="s">
        <v>531</v>
      </c>
      <c r="H36" s="18"/>
      <c r="I36" s="18"/>
    </row>
    <row r="37" spans="1:9" ht="15.6">
      <c r="A37" s="18" t="s">
        <v>562</v>
      </c>
      <c r="B37" s="47" t="s">
        <v>563</v>
      </c>
      <c r="C37" s="18" t="s">
        <v>304</v>
      </c>
      <c r="D37" s="18" t="s">
        <v>564</v>
      </c>
      <c r="E37" s="18"/>
      <c r="F37" s="18" t="s">
        <v>302</v>
      </c>
      <c r="G37" s="18" t="s">
        <v>556</v>
      </c>
      <c r="H37" s="18"/>
      <c r="I37" s="18"/>
    </row>
    <row r="38" spans="1:9" ht="15.6">
      <c r="A38" s="255" t="s">
        <v>490</v>
      </c>
      <c r="B38" s="255" t="s">
        <v>491</v>
      </c>
      <c r="C38" s="18" t="s">
        <v>304</v>
      </c>
      <c r="D38" s="18" t="s">
        <v>232</v>
      </c>
      <c r="E38" s="18" t="s">
        <v>260</v>
      </c>
      <c r="F38" s="18" t="s">
        <v>492</v>
      </c>
      <c r="G38" s="18" t="s">
        <v>396</v>
      </c>
      <c r="H38" s="18"/>
      <c r="I38" s="18"/>
    </row>
    <row r="39" spans="1:9" ht="15.6">
      <c r="A39" s="18" t="s">
        <v>582</v>
      </c>
      <c r="B39" s="47" t="s">
        <v>583</v>
      </c>
      <c r="C39" s="18" t="s">
        <v>304</v>
      </c>
      <c r="D39" s="18" t="s">
        <v>574</v>
      </c>
      <c r="E39" s="18"/>
      <c r="F39" s="18" t="s">
        <v>575</v>
      </c>
      <c r="G39" s="18" t="s">
        <v>531</v>
      </c>
      <c r="H39" s="18"/>
      <c r="I39" s="18"/>
    </row>
    <row r="40" spans="1:9" ht="15.6">
      <c r="A40" s="18" t="s">
        <v>580</v>
      </c>
      <c r="B40" s="47" t="s">
        <v>581</v>
      </c>
      <c r="C40" s="18" t="s">
        <v>304</v>
      </c>
      <c r="D40" s="18" t="s">
        <v>574</v>
      </c>
      <c r="E40" s="18"/>
      <c r="F40" s="18" t="s">
        <v>575</v>
      </c>
      <c r="G40" s="18" t="s">
        <v>531</v>
      </c>
      <c r="H40" s="18"/>
      <c r="I40" s="18"/>
    </row>
    <row r="41" spans="1:9" ht="15.6">
      <c r="A41" s="18" t="s">
        <v>572</v>
      </c>
      <c r="B41" s="47" t="s">
        <v>573</v>
      </c>
      <c r="C41" s="18" t="s">
        <v>304</v>
      </c>
      <c r="D41" s="18" t="s">
        <v>574</v>
      </c>
      <c r="E41" s="18"/>
      <c r="F41" s="18" t="s">
        <v>575</v>
      </c>
      <c r="G41" s="18" t="s">
        <v>531</v>
      </c>
      <c r="H41" s="18"/>
      <c r="I41" s="18"/>
    </row>
    <row r="42" spans="1:9" ht="15.6">
      <c r="A42" s="18" t="s">
        <v>576</v>
      </c>
      <c r="B42" s="47" t="s">
        <v>577</v>
      </c>
      <c r="C42" s="18" t="s">
        <v>304</v>
      </c>
      <c r="D42" s="18" t="s">
        <v>574</v>
      </c>
      <c r="E42" s="18"/>
      <c r="F42" s="18" t="s">
        <v>575</v>
      </c>
      <c r="G42" s="18" t="s">
        <v>531</v>
      </c>
      <c r="H42" s="18"/>
      <c r="I42" s="18"/>
    </row>
    <row r="43" spans="1:9" ht="15.6">
      <c r="A43" s="18" t="s">
        <v>578</v>
      </c>
      <c r="B43" s="47" t="s">
        <v>579</v>
      </c>
      <c r="C43" s="18" t="s">
        <v>304</v>
      </c>
      <c r="D43" s="18" t="s">
        <v>574</v>
      </c>
      <c r="E43" s="18"/>
      <c r="F43" s="18" t="s">
        <v>575</v>
      </c>
      <c r="G43" s="18" t="s">
        <v>531</v>
      </c>
      <c r="H43" s="18"/>
      <c r="I43" s="18"/>
    </row>
    <row r="44" spans="1:9" ht="15.6">
      <c r="A44" s="18" t="s">
        <v>696</v>
      </c>
      <c r="B44" s="47" t="s">
        <v>697</v>
      </c>
      <c r="C44" s="18" t="s">
        <v>304</v>
      </c>
      <c r="D44" s="18" t="s">
        <v>695</v>
      </c>
      <c r="E44" s="18"/>
      <c r="F44" s="18"/>
      <c r="G44" s="18" t="s">
        <v>372</v>
      </c>
      <c r="H44" s="18"/>
      <c r="I44" s="18"/>
    </row>
    <row r="45" spans="1:9" ht="15.6">
      <c r="A45" s="18" t="s">
        <v>693</v>
      </c>
      <c r="B45" s="47" t="s">
        <v>694</v>
      </c>
      <c r="C45" s="18" t="s">
        <v>304</v>
      </c>
      <c r="D45" s="18" t="s">
        <v>695</v>
      </c>
      <c r="E45" s="18"/>
      <c r="F45" s="18"/>
      <c r="G45" s="18" t="s">
        <v>370</v>
      </c>
      <c r="H45" s="18"/>
      <c r="I45" s="18"/>
    </row>
    <row r="46" spans="1:9" ht="15.6">
      <c r="A46" s="18" t="s">
        <v>641</v>
      </c>
      <c r="B46" s="47" t="s">
        <v>642</v>
      </c>
      <c r="C46" s="18" t="s">
        <v>304</v>
      </c>
      <c r="D46" s="18" t="s">
        <v>232</v>
      </c>
      <c r="E46" s="18"/>
      <c r="F46" s="18" t="s">
        <v>575</v>
      </c>
      <c r="G46" s="18"/>
      <c r="H46" s="18"/>
      <c r="I46" s="18"/>
    </row>
    <row r="47" spans="1:9" ht="15.6">
      <c r="A47" s="18" t="s">
        <v>649</v>
      </c>
      <c r="B47" s="47" t="s">
        <v>650</v>
      </c>
      <c r="C47" s="18" t="s">
        <v>304</v>
      </c>
      <c r="D47" s="18" t="s">
        <v>273</v>
      </c>
      <c r="E47" s="18"/>
      <c r="F47" s="18" t="s">
        <v>610</v>
      </c>
      <c r="G47" s="18" t="s">
        <v>651</v>
      </c>
      <c r="H47" s="18"/>
      <c r="I47" s="18"/>
    </row>
    <row r="48" spans="1:9" ht="15.6">
      <c r="A48" s="18" t="s">
        <v>646</v>
      </c>
      <c r="B48" s="47" t="s">
        <v>497</v>
      </c>
      <c r="C48" s="18" t="s">
        <v>304</v>
      </c>
      <c r="D48" s="18" t="s">
        <v>273</v>
      </c>
      <c r="E48" s="18"/>
      <c r="F48" s="18" t="s">
        <v>610</v>
      </c>
      <c r="G48" s="18" t="s">
        <v>645</v>
      </c>
      <c r="H48" s="18"/>
      <c r="I48" s="18"/>
    </row>
    <row r="49" spans="1:9" ht="15.6">
      <c r="A49" s="18" t="s">
        <v>647</v>
      </c>
      <c r="B49" s="47" t="s">
        <v>648</v>
      </c>
      <c r="C49" s="18" t="s">
        <v>304</v>
      </c>
      <c r="D49" s="18" t="s">
        <v>273</v>
      </c>
      <c r="E49" s="18"/>
      <c r="F49" s="18" t="s">
        <v>601</v>
      </c>
      <c r="G49" s="18" t="s">
        <v>396</v>
      </c>
      <c r="H49" s="18"/>
      <c r="I49" s="18"/>
    </row>
    <row r="50" spans="1:9" ht="15.6">
      <c r="A50" s="18" t="s">
        <v>643</v>
      </c>
      <c r="B50" s="47" t="s">
        <v>644</v>
      </c>
      <c r="C50" s="18" t="s">
        <v>304</v>
      </c>
      <c r="D50" s="18" t="s">
        <v>273</v>
      </c>
      <c r="E50" s="18"/>
      <c r="F50" s="18" t="s">
        <v>601</v>
      </c>
      <c r="G50" s="18" t="s">
        <v>645</v>
      </c>
      <c r="H50" s="18"/>
      <c r="I50" s="18"/>
    </row>
    <row r="51" spans="1:9" ht="15.6">
      <c r="A51" s="18" t="s">
        <v>652</v>
      </c>
      <c r="B51" s="47" t="s">
        <v>500</v>
      </c>
      <c r="C51" s="18" t="s">
        <v>304</v>
      </c>
      <c r="D51" s="18" t="s">
        <v>229</v>
      </c>
      <c r="E51" s="18"/>
      <c r="F51" s="18" t="s">
        <v>653</v>
      </c>
      <c r="G51" s="18" t="s">
        <v>555</v>
      </c>
      <c r="H51" s="18"/>
      <c r="I51" s="18"/>
    </row>
    <row r="52" spans="1:9" ht="15.6">
      <c r="A52" s="18" t="s">
        <v>654</v>
      </c>
      <c r="B52" s="47" t="s">
        <v>655</v>
      </c>
      <c r="C52" s="18" t="s">
        <v>304</v>
      </c>
      <c r="D52" s="18" t="s">
        <v>277</v>
      </c>
      <c r="E52" s="18"/>
      <c r="F52" s="18" t="s">
        <v>504</v>
      </c>
      <c r="G52" s="18" t="s">
        <v>555</v>
      </c>
      <c r="H52" s="18"/>
      <c r="I52" s="18"/>
    </row>
    <row r="53" spans="1:9" ht="15.6">
      <c r="A53" s="18" t="s">
        <v>656</v>
      </c>
      <c r="B53" s="47" t="s">
        <v>657</v>
      </c>
      <c r="C53" s="18" t="s">
        <v>304</v>
      </c>
      <c r="D53" s="18" t="s">
        <v>277</v>
      </c>
      <c r="E53" s="18"/>
      <c r="F53" s="18"/>
      <c r="G53" s="18" t="s">
        <v>555</v>
      </c>
      <c r="H53" s="18"/>
      <c r="I53" s="18"/>
    </row>
    <row r="54" spans="1:9" ht="15.6">
      <c r="A54" s="254" t="s">
        <v>517</v>
      </c>
      <c r="B54" s="254" t="s">
        <v>518</v>
      </c>
      <c r="C54" s="254" t="s">
        <v>304</v>
      </c>
      <c r="D54" s="254" t="s">
        <v>277</v>
      </c>
      <c r="E54" s="254" t="s">
        <v>262</v>
      </c>
      <c r="F54" s="254" t="s">
        <v>504</v>
      </c>
      <c r="G54" s="254" t="s">
        <v>505</v>
      </c>
      <c r="H54" s="254" t="s">
        <v>516</v>
      </c>
      <c r="I54" s="18"/>
    </row>
    <row r="55" spans="1:9" ht="15.6">
      <c r="A55" s="254" t="s">
        <v>514</v>
      </c>
      <c r="B55" s="254" t="s">
        <v>515</v>
      </c>
      <c r="C55" s="254" t="s">
        <v>304</v>
      </c>
      <c r="D55" s="254" t="s">
        <v>277</v>
      </c>
      <c r="E55" s="254" t="s">
        <v>262</v>
      </c>
      <c r="F55" s="254" t="s">
        <v>504</v>
      </c>
      <c r="G55" s="254" t="s">
        <v>505</v>
      </c>
      <c r="H55" s="254" t="s">
        <v>516</v>
      </c>
      <c r="I55" s="18"/>
    </row>
    <row r="56" spans="1:9" ht="15.6">
      <c r="A56" s="255" t="s">
        <v>502</v>
      </c>
      <c r="B56" s="255" t="s">
        <v>503</v>
      </c>
      <c r="C56" s="18" t="s">
        <v>304</v>
      </c>
      <c r="D56" s="18" t="s">
        <v>277</v>
      </c>
      <c r="E56" s="18" t="s">
        <v>262</v>
      </c>
      <c r="F56" s="18" t="s">
        <v>504</v>
      </c>
      <c r="G56" s="18" t="s">
        <v>505</v>
      </c>
      <c r="H56" s="18"/>
      <c r="I56" s="18"/>
    </row>
    <row r="57" spans="1:9" ht="15.6">
      <c r="A57" s="255" t="s">
        <v>506</v>
      </c>
      <c r="B57" s="255" t="s">
        <v>507</v>
      </c>
      <c r="C57" s="18" t="s">
        <v>304</v>
      </c>
      <c r="D57" s="18" t="s">
        <v>277</v>
      </c>
      <c r="E57" s="18" t="s">
        <v>262</v>
      </c>
      <c r="F57" s="18" t="s">
        <v>508</v>
      </c>
      <c r="G57" s="18" t="s">
        <v>505</v>
      </c>
      <c r="H57" s="18"/>
      <c r="I57" s="18"/>
    </row>
    <row r="58" spans="1:9" ht="15.6">
      <c r="A58" s="18" t="s">
        <v>659</v>
      </c>
      <c r="B58" s="47" t="s">
        <v>660</v>
      </c>
      <c r="C58" s="18" t="s">
        <v>304</v>
      </c>
      <c r="D58" s="18" t="s">
        <v>277</v>
      </c>
      <c r="E58" s="18"/>
      <c r="F58" s="18"/>
      <c r="G58" s="18" t="s">
        <v>555</v>
      </c>
      <c r="H58" s="18"/>
      <c r="I58" s="18"/>
    </row>
    <row r="59" spans="1:9" ht="15.6">
      <c r="A59" s="18" t="s">
        <v>658</v>
      </c>
      <c r="B59" s="47"/>
      <c r="C59" s="18" t="s">
        <v>304</v>
      </c>
      <c r="D59" s="18"/>
      <c r="E59" s="18"/>
      <c r="F59" s="18"/>
      <c r="G59" s="18" t="s">
        <v>555</v>
      </c>
      <c r="H59" s="18"/>
      <c r="I59" s="18"/>
    </row>
    <row r="60" spans="1:9" ht="15.6">
      <c r="A60" s="47" t="s">
        <v>496</v>
      </c>
      <c r="B60" s="47" t="s">
        <v>497</v>
      </c>
      <c r="C60" s="18" t="s">
        <v>304</v>
      </c>
      <c r="D60" s="18" t="s">
        <v>273</v>
      </c>
      <c r="E60" s="18" t="s">
        <v>266</v>
      </c>
      <c r="F60" s="18" t="s">
        <v>498</v>
      </c>
      <c r="G60" s="18" t="s">
        <v>396</v>
      </c>
      <c r="H60" s="18"/>
      <c r="I60" s="18"/>
    </row>
    <row r="61" spans="1:9" ht="15.6">
      <c r="A61" s="18" t="s">
        <v>690</v>
      </c>
      <c r="B61" s="47" t="s">
        <v>691</v>
      </c>
      <c r="C61" s="18" t="s">
        <v>304</v>
      </c>
      <c r="D61" s="18" t="s">
        <v>283</v>
      </c>
      <c r="E61" s="18"/>
      <c r="F61" s="18" t="s">
        <v>653</v>
      </c>
      <c r="G61" s="18" t="s">
        <v>687</v>
      </c>
      <c r="H61" s="18"/>
      <c r="I61" s="18"/>
    </row>
    <row r="62" spans="1:9" ht="15.6">
      <c r="A62" s="18" t="s">
        <v>692</v>
      </c>
      <c r="B62" s="47" t="s">
        <v>677</v>
      </c>
      <c r="C62" s="18" t="s">
        <v>304</v>
      </c>
      <c r="D62" s="18" t="s">
        <v>283</v>
      </c>
      <c r="E62" s="18"/>
      <c r="F62" s="18"/>
      <c r="G62" s="18"/>
      <c r="H62" s="18"/>
      <c r="I62" s="18"/>
    </row>
    <row r="63" spans="1:9" ht="15.6">
      <c r="A63" s="18" t="s">
        <v>688</v>
      </c>
      <c r="B63" s="47" t="s">
        <v>689</v>
      </c>
      <c r="C63" s="18" t="s">
        <v>304</v>
      </c>
      <c r="D63" s="18" t="s">
        <v>283</v>
      </c>
      <c r="E63" s="18"/>
      <c r="F63" s="18" t="s">
        <v>601</v>
      </c>
      <c r="G63" s="18" t="s">
        <v>687</v>
      </c>
      <c r="H63" s="18"/>
      <c r="I63" s="18"/>
    </row>
    <row r="64" spans="1:9" ht="15.6">
      <c r="A64" s="47" t="s">
        <v>509</v>
      </c>
      <c r="B64" s="47" t="s">
        <v>510</v>
      </c>
      <c r="C64" s="18" t="s">
        <v>304</v>
      </c>
      <c r="D64" s="18" t="s">
        <v>511</v>
      </c>
      <c r="E64" s="18" t="s">
        <v>512</v>
      </c>
      <c r="F64" s="18" t="s">
        <v>513</v>
      </c>
      <c r="G64" s="18" t="s">
        <v>417</v>
      </c>
      <c r="H64" s="18"/>
      <c r="I64" s="18"/>
    </row>
    <row r="65" spans="1:9" ht="15.6">
      <c r="A65" s="18" t="s">
        <v>632</v>
      </c>
      <c r="B65" s="47" t="s">
        <v>633</v>
      </c>
      <c r="C65" s="18" t="s">
        <v>304</v>
      </c>
      <c r="D65" s="18" t="s">
        <v>634</v>
      </c>
      <c r="E65" s="18"/>
      <c r="F65" s="18" t="s">
        <v>588</v>
      </c>
      <c r="G65" s="18"/>
      <c r="H65" s="18"/>
      <c r="I65" s="18"/>
    </row>
    <row r="66" spans="1:9" ht="15.6">
      <c r="A66" s="18" t="s">
        <v>608</v>
      </c>
      <c r="B66" s="47" t="s">
        <v>609</v>
      </c>
      <c r="C66" s="18" t="s">
        <v>304</v>
      </c>
      <c r="D66" s="18" t="s">
        <v>239</v>
      </c>
      <c r="E66" s="18"/>
      <c r="F66" s="18" t="s">
        <v>610</v>
      </c>
      <c r="G66" s="18" t="s">
        <v>588</v>
      </c>
      <c r="H66" s="18"/>
      <c r="I66" s="18"/>
    </row>
    <row r="67" spans="1:9" ht="15.6">
      <c r="A67" s="18" t="s">
        <v>611</v>
      </c>
      <c r="B67" s="47" t="s">
        <v>612</v>
      </c>
      <c r="C67" s="18" t="s">
        <v>304</v>
      </c>
      <c r="D67" s="18" t="s">
        <v>613</v>
      </c>
      <c r="E67" s="18"/>
      <c r="F67" s="18" t="s">
        <v>588</v>
      </c>
      <c r="G67" s="18" t="s">
        <v>588</v>
      </c>
      <c r="H67" s="18"/>
      <c r="I67" s="18"/>
    </row>
    <row r="68" spans="1:9" ht="15.6">
      <c r="A68" s="18" t="s">
        <v>626</v>
      </c>
      <c r="B68" s="47" t="s">
        <v>627</v>
      </c>
      <c r="C68" s="18" t="s">
        <v>529</v>
      </c>
      <c r="D68" s="18" t="s">
        <v>628</v>
      </c>
      <c r="E68" s="18"/>
      <c r="F68" s="18" t="s">
        <v>588</v>
      </c>
      <c r="G68" s="18"/>
      <c r="H68" s="18"/>
      <c r="I68" s="18"/>
    </row>
    <row r="69" spans="1:9" ht="15.6">
      <c r="A69" s="18" t="s">
        <v>605</v>
      </c>
      <c r="B69" s="47" t="s">
        <v>606</v>
      </c>
      <c r="C69" s="18" t="s">
        <v>304</v>
      </c>
      <c r="D69" s="18" t="s">
        <v>596</v>
      </c>
      <c r="E69" s="18"/>
      <c r="F69" s="18" t="s">
        <v>607</v>
      </c>
      <c r="G69" s="18" t="s">
        <v>588</v>
      </c>
      <c r="H69" s="18"/>
      <c r="I69" s="18"/>
    </row>
    <row r="70" spans="1:9" ht="15.6">
      <c r="A70" s="18" t="s">
        <v>602</v>
      </c>
      <c r="B70" s="47" t="s">
        <v>603</v>
      </c>
      <c r="C70" s="18" t="s">
        <v>304</v>
      </c>
      <c r="D70" s="18" t="s">
        <v>596</v>
      </c>
      <c r="E70" s="18"/>
      <c r="F70" s="18" t="s">
        <v>604</v>
      </c>
      <c r="G70" s="18" t="s">
        <v>588</v>
      </c>
      <c r="H70" s="18"/>
      <c r="I70" s="18"/>
    </row>
    <row r="71" spans="1:9" ht="15.6">
      <c r="A71" s="18" t="s">
        <v>597</v>
      </c>
      <c r="B71" s="47" t="s">
        <v>598</v>
      </c>
      <c r="C71" s="18" t="s">
        <v>304</v>
      </c>
      <c r="D71" s="18" t="s">
        <v>596</v>
      </c>
      <c r="E71" s="18"/>
      <c r="F71" s="18" t="s">
        <v>531</v>
      </c>
      <c r="G71" s="18" t="s">
        <v>588</v>
      </c>
      <c r="H71" s="18"/>
      <c r="I71" s="18"/>
    </row>
    <row r="72" spans="1:9" ht="15.6">
      <c r="A72" s="18" t="s">
        <v>594</v>
      </c>
      <c r="B72" s="47" t="s">
        <v>595</v>
      </c>
      <c r="C72" s="18" t="s">
        <v>304</v>
      </c>
      <c r="D72" s="18" t="s">
        <v>596</v>
      </c>
      <c r="E72" s="18"/>
      <c r="F72" s="18" t="s">
        <v>531</v>
      </c>
      <c r="G72" s="18"/>
      <c r="H72" s="18"/>
      <c r="I72" s="18"/>
    </row>
    <row r="73" spans="1:9" ht="15.6">
      <c r="A73" s="18" t="s">
        <v>589</v>
      </c>
      <c r="B73" s="47" t="s">
        <v>590</v>
      </c>
      <c r="C73" s="18" t="s">
        <v>304</v>
      </c>
      <c r="D73" s="18" t="s">
        <v>591</v>
      </c>
      <c r="E73" s="18"/>
      <c r="F73" s="18" t="s">
        <v>588</v>
      </c>
      <c r="G73" s="18" t="s">
        <v>588</v>
      </c>
      <c r="H73" s="18"/>
      <c r="I73" s="18"/>
    </row>
    <row r="74" spans="1:9" ht="15.6">
      <c r="A74" s="18" t="s">
        <v>592</v>
      </c>
      <c r="B74" s="47" t="s">
        <v>593</v>
      </c>
      <c r="C74" s="18" t="s">
        <v>304</v>
      </c>
      <c r="D74" s="18" t="s">
        <v>591</v>
      </c>
      <c r="E74" s="18"/>
      <c r="F74" s="18" t="s">
        <v>588</v>
      </c>
      <c r="G74" s="18"/>
      <c r="H74" s="18"/>
      <c r="I74" s="18"/>
    </row>
    <row r="75" spans="1:9" ht="15.6">
      <c r="A75" s="18" t="s">
        <v>599</v>
      </c>
      <c r="B75" s="47" t="s">
        <v>600</v>
      </c>
      <c r="C75" s="18" t="s">
        <v>304</v>
      </c>
      <c r="D75" s="18" t="s">
        <v>596</v>
      </c>
      <c r="E75" s="18"/>
      <c r="F75" s="18" t="s">
        <v>601</v>
      </c>
      <c r="G75" s="18" t="s">
        <v>588</v>
      </c>
      <c r="H75" s="18"/>
      <c r="I75" s="18"/>
    </row>
    <row r="76" spans="1:9" ht="15.6">
      <c r="A76" s="18" t="s">
        <v>622</v>
      </c>
      <c r="B76" s="47" t="s">
        <v>623</v>
      </c>
      <c r="C76" s="18" t="s">
        <v>304</v>
      </c>
      <c r="D76" s="18" t="s">
        <v>239</v>
      </c>
      <c r="E76" s="18"/>
      <c r="F76" s="18" t="s">
        <v>607</v>
      </c>
      <c r="G76" s="18" t="s">
        <v>531</v>
      </c>
      <c r="H76" s="18"/>
      <c r="I76" s="18"/>
    </row>
    <row r="77" spans="1:9" ht="15.6">
      <c r="A77" s="18" t="s">
        <v>620</v>
      </c>
      <c r="B77" s="47" t="s">
        <v>621</v>
      </c>
      <c r="C77" s="18" t="s">
        <v>304</v>
      </c>
      <c r="D77" s="18" t="s">
        <v>239</v>
      </c>
      <c r="E77" s="18"/>
      <c r="F77" s="18" t="s">
        <v>555</v>
      </c>
      <c r="G77" s="18" t="s">
        <v>531</v>
      </c>
      <c r="H77" s="18"/>
      <c r="I77" s="18"/>
    </row>
    <row r="78" spans="1:9" ht="15.6">
      <c r="A78" s="18" t="s">
        <v>616</v>
      </c>
      <c r="B78" s="47" t="s">
        <v>617</v>
      </c>
      <c r="C78" s="18" t="s">
        <v>304</v>
      </c>
      <c r="D78" s="18" t="s">
        <v>239</v>
      </c>
      <c r="E78" s="18"/>
      <c r="F78" s="18" t="s">
        <v>531</v>
      </c>
      <c r="G78" s="18" t="s">
        <v>531</v>
      </c>
      <c r="H78" s="18"/>
      <c r="I78" s="18"/>
    </row>
    <row r="79" spans="1:9" ht="15.6">
      <c r="A79" s="18" t="s">
        <v>624</v>
      </c>
      <c r="B79" s="47" t="s">
        <v>625</v>
      </c>
      <c r="C79" s="18" t="s">
        <v>304</v>
      </c>
      <c r="D79" s="18" t="s">
        <v>239</v>
      </c>
      <c r="E79" s="18"/>
      <c r="F79" s="18" t="s">
        <v>396</v>
      </c>
      <c r="G79" s="18" t="s">
        <v>531</v>
      </c>
      <c r="H79" s="18"/>
      <c r="I79" s="18"/>
    </row>
    <row r="80" spans="1:9" ht="15.6">
      <c r="A80" s="18" t="s">
        <v>618</v>
      </c>
      <c r="B80" s="47" t="s">
        <v>619</v>
      </c>
      <c r="C80" s="18" t="s">
        <v>304</v>
      </c>
      <c r="D80" s="18" t="s">
        <v>239</v>
      </c>
      <c r="E80" s="18"/>
      <c r="F80" s="18" t="s">
        <v>601</v>
      </c>
      <c r="G80" s="18" t="s">
        <v>531</v>
      </c>
      <c r="H80" s="18"/>
      <c r="I80" s="18"/>
    </row>
    <row r="81" spans="1:9" ht="15.6">
      <c r="A81" s="18" t="s">
        <v>629</v>
      </c>
      <c r="B81" s="47" t="s">
        <v>630</v>
      </c>
      <c r="C81" s="18" t="s">
        <v>529</v>
      </c>
      <c r="D81" s="18" t="s">
        <v>631</v>
      </c>
      <c r="E81" s="18"/>
      <c r="F81" s="18" t="s">
        <v>588</v>
      </c>
      <c r="G81" s="18"/>
      <c r="H81" s="18"/>
      <c r="I81" s="18"/>
    </row>
    <row r="82" spans="1:9" ht="15.6">
      <c r="A82" s="18" t="s">
        <v>614</v>
      </c>
      <c r="B82" s="47" t="s">
        <v>615</v>
      </c>
      <c r="C82" s="18" t="s">
        <v>304</v>
      </c>
      <c r="D82" s="18" t="s">
        <v>239</v>
      </c>
      <c r="E82" s="18"/>
      <c r="F82" s="18" t="s">
        <v>588</v>
      </c>
      <c r="G82" s="18" t="s">
        <v>588</v>
      </c>
      <c r="H82" s="18"/>
      <c r="I82" s="18"/>
    </row>
    <row r="83" spans="1:9" ht="15.6">
      <c r="A83" s="18" t="s">
        <v>637</v>
      </c>
      <c r="B83" s="47" t="s">
        <v>638</v>
      </c>
      <c r="C83" s="18" t="s">
        <v>304</v>
      </c>
      <c r="D83" s="18" t="s">
        <v>634</v>
      </c>
      <c r="E83" s="18"/>
      <c r="F83" s="18" t="s">
        <v>588</v>
      </c>
      <c r="G83" s="18"/>
      <c r="H83" s="18"/>
      <c r="I83" s="18"/>
    </row>
    <row r="84" spans="1:9" ht="15.6">
      <c r="A84" s="18" t="s">
        <v>635</v>
      </c>
      <c r="B84" s="47" t="s">
        <v>636</v>
      </c>
      <c r="C84" s="18" t="s">
        <v>304</v>
      </c>
      <c r="D84" s="18" t="s">
        <v>634</v>
      </c>
      <c r="E84" s="18"/>
      <c r="F84" s="18" t="s">
        <v>588</v>
      </c>
      <c r="G84" s="18"/>
      <c r="H84" s="18"/>
      <c r="I84" s="18"/>
    </row>
    <row r="85" spans="1:9" ht="15.6">
      <c r="A85" s="18" t="s">
        <v>639</v>
      </c>
      <c r="B85" s="47" t="s">
        <v>640</v>
      </c>
      <c r="C85" s="18" t="s">
        <v>304</v>
      </c>
      <c r="D85" s="18" t="s">
        <v>634</v>
      </c>
      <c r="E85" s="18"/>
      <c r="F85" s="18" t="s">
        <v>588</v>
      </c>
      <c r="G85" s="18"/>
      <c r="H85" s="18"/>
      <c r="I85" s="18"/>
    </row>
    <row r="86" spans="1:9" ht="15.6">
      <c r="A86" s="47" t="s">
        <v>499</v>
      </c>
      <c r="B86" s="47" t="s">
        <v>500</v>
      </c>
      <c r="C86" s="18" t="s">
        <v>304</v>
      </c>
      <c r="D86" s="18" t="s">
        <v>229</v>
      </c>
      <c r="E86" s="18" t="s">
        <v>262</v>
      </c>
      <c r="F86" s="18" t="s">
        <v>339</v>
      </c>
      <c r="G86" s="18" t="s">
        <v>501</v>
      </c>
      <c r="H86" s="18"/>
      <c r="I86" s="18"/>
    </row>
    <row r="87" spans="1:9" ht="15.6">
      <c r="A87" s="18" t="s">
        <v>698</v>
      </c>
      <c r="B87" s="47" t="s">
        <v>707</v>
      </c>
      <c r="C87" s="18" t="s">
        <v>304</v>
      </c>
      <c r="D87" s="18" t="s">
        <v>700</v>
      </c>
      <c r="E87" s="18"/>
      <c r="F87" s="18" t="s">
        <v>701</v>
      </c>
      <c r="G87" s="18" t="s">
        <v>531</v>
      </c>
      <c r="H87" s="18"/>
      <c r="I87" s="18"/>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E9836-5715-442B-A364-884BF60344DA}">
  <sheetPr>
    <tabColor theme="0" tint="-0.14999847407452621"/>
  </sheetPr>
  <dimension ref="A1:M99"/>
  <sheetViews>
    <sheetView zoomScale="85" zoomScaleNormal="85" workbookViewId="0">
      <selection activeCell="E38" sqref="E38"/>
    </sheetView>
  </sheetViews>
  <sheetFormatPr defaultRowHeight="13.2"/>
  <cols>
    <col min="1" max="1" width="22.5546875" customWidth="1"/>
    <col min="2" max="2" width="48.5546875" customWidth="1"/>
    <col min="3" max="3" width="80.44140625" hidden="1" customWidth="1"/>
    <col min="4" max="4" width="40" customWidth="1"/>
    <col min="5" max="5" width="33.5546875" customWidth="1"/>
    <col min="6" max="6" width="48.109375" customWidth="1"/>
    <col min="7" max="7" width="21.88671875" hidden="1" customWidth="1"/>
    <col min="8" max="8" width="152.88671875" customWidth="1"/>
    <col min="9" max="9" width="27.5546875" style="82" customWidth="1"/>
    <col min="10" max="10" width="28.109375" customWidth="1"/>
    <col min="11" max="11" width="22.44140625" customWidth="1"/>
    <col min="12" max="12" width="25.44140625" customWidth="1"/>
    <col min="13" max="13" width="18.88671875" customWidth="1"/>
  </cols>
  <sheetData>
    <row r="1" spans="1:13" ht="28.2">
      <c r="A1" s="257" t="s">
        <v>708</v>
      </c>
      <c r="B1" s="257"/>
      <c r="C1" s="258" t="s">
        <v>706</v>
      </c>
      <c r="D1" s="258" t="s">
        <v>706</v>
      </c>
      <c r="E1" s="258" t="s">
        <v>706</v>
      </c>
      <c r="F1" s="259" t="s">
        <v>706</v>
      </c>
      <c r="G1" s="258" t="s">
        <v>706</v>
      </c>
      <c r="H1" s="259" t="s">
        <v>706</v>
      </c>
      <c r="I1" s="295" t="s">
        <v>706</v>
      </c>
      <c r="J1" s="261" t="s">
        <v>706</v>
      </c>
      <c r="K1" s="261" t="s">
        <v>706</v>
      </c>
      <c r="L1" s="261" t="s">
        <v>706</v>
      </c>
      <c r="M1" s="261" t="s">
        <v>706</v>
      </c>
    </row>
    <row r="2" spans="1:13" ht="15.6">
      <c r="A2" s="262" t="s">
        <v>709</v>
      </c>
      <c r="B2" s="263" t="s">
        <v>710</v>
      </c>
      <c r="C2" s="264" t="s">
        <v>711</v>
      </c>
      <c r="D2" s="262" t="s">
        <v>712</v>
      </c>
      <c r="E2" s="262" t="s">
        <v>713</v>
      </c>
      <c r="F2" s="262" t="s">
        <v>714</v>
      </c>
      <c r="G2" s="262" t="s">
        <v>715</v>
      </c>
      <c r="H2" s="262" t="s">
        <v>714</v>
      </c>
      <c r="I2" s="296" t="s">
        <v>716</v>
      </c>
      <c r="J2" s="262" t="s">
        <v>717</v>
      </c>
      <c r="K2" s="262" t="s">
        <v>718</v>
      </c>
      <c r="L2" s="262" t="s">
        <v>719</v>
      </c>
      <c r="M2" s="265" t="s">
        <v>720</v>
      </c>
    </row>
    <row r="3" spans="1:13" ht="15.6">
      <c r="A3" s="286" t="s">
        <v>721</v>
      </c>
      <c r="B3" s="287" t="s">
        <v>79</v>
      </c>
      <c r="C3" s="288" t="s">
        <v>77</v>
      </c>
      <c r="D3" s="289" t="s">
        <v>722</v>
      </c>
      <c r="E3" s="292" t="s">
        <v>225</v>
      </c>
      <c r="F3" s="290" t="s">
        <v>723</v>
      </c>
      <c r="G3" s="289" t="s">
        <v>724</v>
      </c>
      <c r="H3" s="290" t="s">
        <v>725</v>
      </c>
      <c r="I3" s="297" t="s">
        <v>726</v>
      </c>
      <c r="J3" s="293" t="s">
        <v>253</v>
      </c>
      <c r="K3" s="293" t="s">
        <v>268</v>
      </c>
      <c r="L3" s="293" t="s">
        <v>286</v>
      </c>
      <c r="M3" s="291" t="s">
        <v>303</v>
      </c>
    </row>
    <row r="4" spans="1:13" ht="15.6">
      <c r="A4" s="267" t="s">
        <v>76</v>
      </c>
      <c r="B4" s="267" t="s">
        <v>702</v>
      </c>
      <c r="C4" s="268" t="s">
        <v>727</v>
      </c>
      <c r="D4" s="269" t="s">
        <v>702</v>
      </c>
      <c r="E4" s="267" t="s">
        <v>728</v>
      </c>
      <c r="F4" s="270" t="s">
        <v>729</v>
      </c>
      <c r="G4" s="268" t="s">
        <v>706</v>
      </c>
      <c r="H4" s="270" t="s">
        <v>730</v>
      </c>
      <c r="I4" s="298">
        <v>2050</v>
      </c>
      <c r="J4" s="267" t="s">
        <v>254</v>
      </c>
      <c r="K4" s="267" t="s">
        <v>731</v>
      </c>
      <c r="L4" s="267" t="s">
        <v>704</v>
      </c>
      <c r="M4" s="283" t="s">
        <v>304</v>
      </c>
    </row>
    <row r="5" spans="1:13" ht="15.6">
      <c r="A5" s="267" t="s">
        <v>76</v>
      </c>
      <c r="B5" s="267" t="s">
        <v>732</v>
      </c>
      <c r="C5" s="272" t="s">
        <v>733</v>
      </c>
      <c r="D5" s="272" t="s">
        <v>732</v>
      </c>
      <c r="E5" s="267" t="s">
        <v>550</v>
      </c>
      <c r="F5" s="270" t="s">
        <v>734</v>
      </c>
      <c r="G5" s="268" t="s">
        <v>706</v>
      </c>
      <c r="H5" s="270" t="s">
        <v>706</v>
      </c>
      <c r="I5" s="298">
        <v>2050</v>
      </c>
      <c r="J5" s="267" t="s">
        <v>258</v>
      </c>
      <c r="K5" s="267" t="s">
        <v>236</v>
      </c>
      <c r="L5" s="267" t="s">
        <v>735</v>
      </c>
      <c r="M5" s="283" t="s">
        <v>304</v>
      </c>
    </row>
    <row r="6" spans="1:13" ht="15.6">
      <c r="A6" s="267" t="s">
        <v>76</v>
      </c>
      <c r="B6" s="267" t="s">
        <v>736</v>
      </c>
      <c r="C6" s="268" t="s">
        <v>737</v>
      </c>
      <c r="D6" s="269" t="s">
        <v>664</v>
      </c>
      <c r="E6" s="267" t="s">
        <v>738</v>
      </c>
      <c r="F6" s="267" t="s">
        <v>739</v>
      </c>
      <c r="G6" s="268" t="s">
        <v>706</v>
      </c>
      <c r="H6" s="270" t="s">
        <v>740</v>
      </c>
      <c r="I6" s="298" t="s">
        <v>741</v>
      </c>
      <c r="J6" s="267" t="s">
        <v>256</v>
      </c>
      <c r="K6" s="267" t="s">
        <v>742</v>
      </c>
      <c r="L6" s="267" t="s">
        <v>288</v>
      </c>
      <c r="M6" s="283" t="s">
        <v>304</v>
      </c>
    </row>
    <row r="7" spans="1:13" s="299" customFormat="1" ht="15.6">
      <c r="A7" s="318" t="s">
        <v>76</v>
      </c>
      <c r="B7" s="318" t="s">
        <v>743</v>
      </c>
      <c r="C7" s="319" t="s">
        <v>744</v>
      </c>
      <c r="D7" s="320" t="s">
        <v>669</v>
      </c>
      <c r="E7" s="318" t="s">
        <v>738</v>
      </c>
      <c r="F7" s="318" t="s">
        <v>745</v>
      </c>
      <c r="G7" s="319" t="s">
        <v>706</v>
      </c>
      <c r="H7" s="321" t="s">
        <v>746</v>
      </c>
      <c r="I7" s="322">
        <v>2050</v>
      </c>
      <c r="J7" s="318" t="s">
        <v>256</v>
      </c>
      <c r="K7" s="318" t="s">
        <v>747</v>
      </c>
      <c r="L7" s="318" t="s">
        <v>285</v>
      </c>
      <c r="M7" s="323" t="s">
        <v>304</v>
      </c>
    </row>
    <row r="8" spans="1:13" s="299" customFormat="1" ht="15.6">
      <c r="A8" s="318" t="s">
        <v>76</v>
      </c>
      <c r="B8" s="318" t="s">
        <v>748</v>
      </c>
      <c r="C8" s="319" t="s">
        <v>749</v>
      </c>
      <c r="D8" s="320" t="s">
        <v>671</v>
      </c>
      <c r="E8" s="318" t="s">
        <v>738</v>
      </c>
      <c r="F8" s="318" t="s">
        <v>745</v>
      </c>
      <c r="G8" s="319" t="s">
        <v>706</v>
      </c>
      <c r="H8" s="321" t="s">
        <v>750</v>
      </c>
      <c r="I8" s="322">
        <v>2050</v>
      </c>
      <c r="J8" s="318" t="s">
        <v>256</v>
      </c>
      <c r="K8" s="318" t="s">
        <v>747</v>
      </c>
      <c r="L8" s="318" t="s">
        <v>302</v>
      </c>
      <c r="M8" s="323" t="s">
        <v>304</v>
      </c>
    </row>
    <row r="9" spans="1:13" ht="15.6">
      <c r="A9" s="267" t="s">
        <v>76</v>
      </c>
      <c r="B9" s="267" t="s">
        <v>751</v>
      </c>
      <c r="C9" s="268" t="s">
        <v>752</v>
      </c>
      <c r="D9" s="269" t="s">
        <v>673</v>
      </c>
      <c r="E9" s="267" t="s">
        <v>738</v>
      </c>
      <c r="F9" s="267" t="s">
        <v>270</v>
      </c>
      <c r="G9" s="268" t="s">
        <v>706</v>
      </c>
      <c r="H9" s="270" t="s">
        <v>674</v>
      </c>
      <c r="I9" s="298" t="s">
        <v>741</v>
      </c>
      <c r="J9" s="267" t="s">
        <v>256</v>
      </c>
      <c r="K9" s="267" t="s">
        <v>270</v>
      </c>
      <c r="L9" s="267" t="s">
        <v>287</v>
      </c>
      <c r="M9" s="283" t="s">
        <v>304</v>
      </c>
    </row>
    <row r="10" spans="1:13" ht="15.6">
      <c r="A10" s="267" t="s">
        <v>76</v>
      </c>
      <c r="B10" s="267" t="s">
        <v>753</v>
      </c>
      <c r="C10" s="268" t="s">
        <v>754</v>
      </c>
      <c r="D10" s="269" t="s">
        <v>667</v>
      </c>
      <c r="E10" s="267" t="s">
        <v>738</v>
      </c>
      <c r="F10" s="267" t="s">
        <v>755</v>
      </c>
      <c r="G10" s="268" t="s">
        <v>706</v>
      </c>
      <c r="H10" s="270" t="s">
        <v>756</v>
      </c>
      <c r="I10" s="298" t="s">
        <v>741</v>
      </c>
      <c r="J10" s="267" t="s">
        <v>256</v>
      </c>
      <c r="K10" s="267" t="s">
        <v>742</v>
      </c>
      <c r="L10" s="267" t="s">
        <v>293</v>
      </c>
      <c r="M10" s="283" t="s">
        <v>304</v>
      </c>
    </row>
    <row r="11" spans="1:13" s="147" customFormat="1" ht="15.6">
      <c r="A11" s="318" t="s">
        <v>76</v>
      </c>
      <c r="B11" s="318" t="s">
        <v>757</v>
      </c>
      <c r="C11" s="319" t="s">
        <v>758</v>
      </c>
      <c r="D11" s="320" t="s">
        <v>661</v>
      </c>
      <c r="E11" s="318" t="s">
        <v>663</v>
      </c>
      <c r="F11" s="318" t="s">
        <v>745</v>
      </c>
      <c r="G11" s="319" t="s">
        <v>706</v>
      </c>
      <c r="H11" s="321" t="s">
        <v>759</v>
      </c>
      <c r="I11" s="322" t="s">
        <v>264</v>
      </c>
      <c r="J11" s="318" t="s">
        <v>383</v>
      </c>
      <c r="K11" s="318" t="s">
        <v>747</v>
      </c>
      <c r="L11" s="318" t="s">
        <v>760</v>
      </c>
      <c r="M11" s="323" t="s">
        <v>304</v>
      </c>
    </row>
    <row r="12" spans="1:13" s="147" customFormat="1" ht="15.6">
      <c r="A12" s="318" t="s">
        <v>76</v>
      </c>
      <c r="B12" s="318" t="s">
        <v>761</v>
      </c>
      <c r="C12" s="319" t="s">
        <v>762</v>
      </c>
      <c r="D12" s="320" t="s">
        <v>676</v>
      </c>
      <c r="E12" s="318" t="s">
        <v>686</v>
      </c>
      <c r="F12" s="321" t="s">
        <v>281</v>
      </c>
      <c r="G12" s="319" t="s">
        <v>706</v>
      </c>
      <c r="H12" s="321" t="s">
        <v>763</v>
      </c>
      <c r="I12" s="322">
        <v>2050</v>
      </c>
      <c r="J12" s="318" t="s">
        <v>383</v>
      </c>
      <c r="K12" s="318" t="s">
        <v>281</v>
      </c>
      <c r="L12" s="318" t="s">
        <v>764</v>
      </c>
      <c r="M12" s="323" t="s">
        <v>628</v>
      </c>
    </row>
    <row r="13" spans="1:13" s="147" customFormat="1" ht="15.6">
      <c r="A13" s="318" t="s">
        <v>76</v>
      </c>
      <c r="B13" s="318" t="s">
        <v>765</v>
      </c>
      <c r="C13" s="319" t="s">
        <v>766</v>
      </c>
      <c r="D13" s="320" t="s">
        <v>685</v>
      </c>
      <c r="E13" s="318" t="s">
        <v>686</v>
      </c>
      <c r="F13" s="318" t="s">
        <v>767</v>
      </c>
      <c r="G13" s="319" t="s">
        <v>706</v>
      </c>
      <c r="H13" s="321" t="s">
        <v>677</v>
      </c>
      <c r="I13" s="322" t="s">
        <v>264</v>
      </c>
      <c r="J13" s="318" t="s">
        <v>383</v>
      </c>
      <c r="K13" s="318" t="s">
        <v>767</v>
      </c>
      <c r="L13" s="318" t="s">
        <v>764</v>
      </c>
      <c r="M13" s="323" t="s">
        <v>628</v>
      </c>
    </row>
    <row r="14" spans="1:13" s="147" customFormat="1" ht="15.6">
      <c r="A14" s="318" t="s">
        <v>76</v>
      </c>
      <c r="B14" s="318" t="s">
        <v>768</v>
      </c>
      <c r="C14" s="319" t="s">
        <v>769</v>
      </c>
      <c r="D14" s="320" t="s">
        <v>683</v>
      </c>
      <c r="E14" s="318" t="s">
        <v>770</v>
      </c>
      <c r="F14" s="321" t="s">
        <v>771</v>
      </c>
      <c r="G14" s="319" t="s">
        <v>706</v>
      </c>
      <c r="H14" s="321" t="s">
        <v>684</v>
      </c>
      <c r="I14" s="322" t="s">
        <v>264</v>
      </c>
      <c r="J14" s="318" t="s">
        <v>257</v>
      </c>
      <c r="K14" s="318" t="s">
        <v>747</v>
      </c>
      <c r="L14" s="318" t="s">
        <v>764</v>
      </c>
      <c r="M14" s="323" t="s">
        <v>304</v>
      </c>
    </row>
    <row r="15" spans="1:13" ht="15.6">
      <c r="A15" s="267" t="s">
        <v>76</v>
      </c>
      <c r="B15" s="267" t="s">
        <v>772</v>
      </c>
      <c r="C15" s="268" t="s">
        <v>773</v>
      </c>
      <c r="D15" s="269" t="s">
        <v>774</v>
      </c>
      <c r="E15" s="267" t="s">
        <v>775</v>
      </c>
      <c r="F15" s="267" t="s">
        <v>776</v>
      </c>
      <c r="G15" s="268" t="s">
        <v>706</v>
      </c>
      <c r="H15" s="270" t="s">
        <v>706</v>
      </c>
      <c r="I15" s="298" t="s">
        <v>264</v>
      </c>
      <c r="J15" s="267" t="s">
        <v>257</v>
      </c>
      <c r="K15" s="267" t="s">
        <v>232</v>
      </c>
      <c r="L15" s="267" t="s">
        <v>777</v>
      </c>
      <c r="M15" s="283" t="s">
        <v>304</v>
      </c>
    </row>
    <row r="16" spans="1:13" ht="15.6">
      <c r="A16" s="267" t="s">
        <v>76</v>
      </c>
      <c r="B16" s="267" t="s">
        <v>778</v>
      </c>
      <c r="C16" s="268" t="s">
        <v>779</v>
      </c>
      <c r="D16" s="269" t="s">
        <v>679</v>
      </c>
      <c r="E16" s="267" t="s">
        <v>780</v>
      </c>
      <c r="F16" s="270" t="s">
        <v>781</v>
      </c>
      <c r="G16" s="268" t="s">
        <v>706</v>
      </c>
      <c r="H16" s="270" t="s">
        <v>782</v>
      </c>
      <c r="I16" s="298" t="s">
        <v>783</v>
      </c>
      <c r="J16" s="267" t="s">
        <v>257</v>
      </c>
      <c r="K16" s="267" t="s">
        <v>298</v>
      </c>
      <c r="L16" s="267" t="s">
        <v>764</v>
      </c>
      <c r="M16" s="283" t="s">
        <v>304</v>
      </c>
    </row>
    <row r="17" spans="1:13" ht="15.6">
      <c r="A17" s="267" t="s">
        <v>76</v>
      </c>
      <c r="B17" s="267" t="s">
        <v>784</v>
      </c>
      <c r="C17" s="268" t="s">
        <v>785</v>
      </c>
      <c r="D17" s="269" t="s">
        <v>786</v>
      </c>
      <c r="E17" s="267" t="s">
        <v>550</v>
      </c>
      <c r="F17" s="267" t="s">
        <v>787</v>
      </c>
      <c r="G17" s="268" t="s">
        <v>706</v>
      </c>
      <c r="H17" s="270" t="s">
        <v>788</v>
      </c>
      <c r="I17" s="298">
        <v>2050</v>
      </c>
      <c r="J17" s="267" t="s">
        <v>258</v>
      </c>
      <c r="K17" s="267" t="s">
        <v>236</v>
      </c>
      <c r="L17" s="267" t="s">
        <v>789</v>
      </c>
      <c r="M17" s="283" t="s">
        <v>304</v>
      </c>
    </row>
    <row r="18" spans="1:13" s="147" customFormat="1" ht="15.6">
      <c r="A18" s="318" t="s">
        <v>76</v>
      </c>
      <c r="B18" s="318" t="s">
        <v>790</v>
      </c>
      <c r="C18" s="319" t="s">
        <v>791</v>
      </c>
      <c r="D18" s="320" t="s">
        <v>792</v>
      </c>
      <c r="E18" s="318" t="s">
        <v>550</v>
      </c>
      <c r="F18" s="318" t="s">
        <v>793</v>
      </c>
      <c r="G18" s="319" t="s">
        <v>706</v>
      </c>
      <c r="H18" s="321" t="s">
        <v>560</v>
      </c>
      <c r="I18" s="322">
        <v>2050</v>
      </c>
      <c r="J18" s="318" t="s">
        <v>794</v>
      </c>
      <c r="K18" s="318" t="s">
        <v>795</v>
      </c>
      <c r="L18" s="318" t="s">
        <v>789</v>
      </c>
      <c r="M18" s="323" t="s">
        <v>304</v>
      </c>
    </row>
    <row r="19" spans="1:13" ht="15.6">
      <c r="A19" s="267" t="s">
        <v>76</v>
      </c>
      <c r="B19" s="267" t="s">
        <v>796</v>
      </c>
      <c r="C19" s="268" t="s">
        <v>797</v>
      </c>
      <c r="D19" s="269" t="s">
        <v>798</v>
      </c>
      <c r="E19" s="267" t="s">
        <v>564</v>
      </c>
      <c r="F19" s="267" t="s">
        <v>799</v>
      </c>
      <c r="G19" s="268" t="s">
        <v>706</v>
      </c>
      <c r="H19" s="270" t="s">
        <v>554</v>
      </c>
      <c r="I19" s="298">
        <v>2050</v>
      </c>
      <c r="J19" s="267" t="s">
        <v>800</v>
      </c>
      <c r="K19" s="267" t="s">
        <v>801</v>
      </c>
      <c r="L19" s="267" t="s">
        <v>789</v>
      </c>
      <c r="M19" s="283" t="s">
        <v>304</v>
      </c>
    </row>
    <row r="20" spans="1:13" ht="15.6">
      <c r="A20" s="267" t="s">
        <v>76</v>
      </c>
      <c r="B20" s="267" t="s">
        <v>802</v>
      </c>
      <c r="C20" s="268" t="s">
        <v>803</v>
      </c>
      <c r="D20" s="269" t="s">
        <v>804</v>
      </c>
      <c r="E20" s="267" t="s">
        <v>550</v>
      </c>
      <c r="F20" s="267" t="s">
        <v>734</v>
      </c>
      <c r="G20" s="268" t="s">
        <v>706</v>
      </c>
      <c r="H20" s="270" t="s">
        <v>558</v>
      </c>
      <c r="I20" s="298">
        <v>2050</v>
      </c>
      <c r="J20" s="267" t="s">
        <v>258</v>
      </c>
      <c r="K20" s="267" t="s">
        <v>236</v>
      </c>
      <c r="L20" s="267" t="s">
        <v>789</v>
      </c>
      <c r="M20" s="283" t="s">
        <v>304</v>
      </c>
    </row>
    <row r="21" spans="1:13" ht="15.6">
      <c r="A21" s="267" t="s">
        <v>76</v>
      </c>
      <c r="B21" s="267" t="s">
        <v>258</v>
      </c>
      <c r="C21" s="268" t="s">
        <v>805</v>
      </c>
      <c r="D21" s="269" t="s">
        <v>527</v>
      </c>
      <c r="E21" s="267" t="s">
        <v>233</v>
      </c>
      <c r="F21" s="267" t="s">
        <v>806</v>
      </c>
      <c r="G21" s="268" t="s">
        <v>706</v>
      </c>
      <c r="H21" s="270" t="s">
        <v>677</v>
      </c>
      <c r="I21" s="298" t="s">
        <v>807</v>
      </c>
      <c r="J21" s="267" t="s">
        <v>258</v>
      </c>
      <c r="K21" s="267" t="s">
        <v>274</v>
      </c>
      <c r="L21" s="267" t="s">
        <v>299</v>
      </c>
      <c r="M21" s="283" t="s">
        <v>628</v>
      </c>
    </row>
    <row r="22" spans="1:13" ht="15.6">
      <c r="A22" s="267" t="s">
        <v>76</v>
      </c>
      <c r="B22" s="267" t="s">
        <v>808</v>
      </c>
      <c r="C22" s="268" t="s">
        <v>809</v>
      </c>
      <c r="D22" s="269" t="s">
        <v>534</v>
      </c>
      <c r="E22" s="267" t="s">
        <v>233</v>
      </c>
      <c r="F22" s="267" t="s">
        <v>274</v>
      </c>
      <c r="G22" s="268" t="s">
        <v>706</v>
      </c>
      <c r="H22" s="270" t="s">
        <v>535</v>
      </c>
      <c r="I22" s="298" t="s">
        <v>807</v>
      </c>
      <c r="J22" s="267" t="s">
        <v>258</v>
      </c>
      <c r="K22" s="267" t="s">
        <v>274</v>
      </c>
      <c r="L22" s="267" t="s">
        <v>291</v>
      </c>
      <c r="M22" s="283" t="s">
        <v>628</v>
      </c>
    </row>
    <row r="23" spans="1:13" ht="15.6">
      <c r="A23" s="267" t="s">
        <v>76</v>
      </c>
      <c r="B23" s="267" t="s">
        <v>810</v>
      </c>
      <c r="C23" s="268" t="s">
        <v>811</v>
      </c>
      <c r="D23" s="269" t="s">
        <v>538</v>
      </c>
      <c r="E23" s="267" t="s">
        <v>233</v>
      </c>
      <c r="F23" s="267" t="s">
        <v>274</v>
      </c>
      <c r="G23" s="268" t="s">
        <v>706</v>
      </c>
      <c r="H23" s="270" t="s">
        <v>539</v>
      </c>
      <c r="I23" s="298" t="s">
        <v>807</v>
      </c>
      <c r="J23" s="267" t="s">
        <v>258</v>
      </c>
      <c r="K23" s="267" t="s">
        <v>274</v>
      </c>
      <c r="L23" s="267" t="s">
        <v>291</v>
      </c>
      <c r="M23" s="283" t="s">
        <v>628</v>
      </c>
    </row>
    <row r="24" spans="1:13" ht="15.6">
      <c r="A24" s="318" t="s">
        <v>76</v>
      </c>
      <c r="B24" s="318" t="s">
        <v>812</v>
      </c>
      <c r="C24" s="319" t="s">
        <v>813</v>
      </c>
      <c r="D24" s="320" t="s">
        <v>536</v>
      </c>
      <c r="E24" s="318" t="s">
        <v>233</v>
      </c>
      <c r="F24" s="318" t="s">
        <v>274</v>
      </c>
      <c r="G24" s="319" t="s">
        <v>706</v>
      </c>
      <c r="H24" s="321" t="s">
        <v>537</v>
      </c>
      <c r="I24" s="322" t="s">
        <v>814</v>
      </c>
      <c r="J24" s="318" t="s">
        <v>258</v>
      </c>
      <c r="K24" s="318" t="s">
        <v>274</v>
      </c>
      <c r="L24" s="318" t="s">
        <v>291</v>
      </c>
      <c r="M24" s="323" t="s">
        <v>628</v>
      </c>
    </row>
    <row r="25" spans="1:13" ht="15.6">
      <c r="A25" s="318" t="s">
        <v>76</v>
      </c>
      <c r="B25" s="318" t="s">
        <v>815</v>
      </c>
      <c r="C25" s="319" t="s">
        <v>816</v>
      </c>
      <c r="D25" s="320" t="s">
        <v>540</v>
      </c>
      <c r="E25" s="318" t="s">
        <v>233</v>
      </c>
      <c r="F25" s="318" t="s">
        <v>274</v>
      </c>
      <c r="G25" s="319" t="s">
        <v>706</v>
      </c>
      <c r="H25" s="321" t="s">
        <v>541</v>
      </c>
      <c r="I25" s="322" t="s">
        <v>814</v>
      </c>
      <c r="J25" s="318" t="s">
        <v>258</v>
      </c>
      <c r="K25" s="320" t="s">
        <v>274</v>
      </c>
      <c r="L25" s="318" t="s">
        <v>291</v>
      </c>
      <c r="M25" s="323" t="s">
        <v>628</v>
      </c>
    </row>
    <row r="26" spans="1:13" ht="15.6">
      <c r="A26" s="267" t="s">
        <v>76</v>
      </c>
      <c r="B26" s="267" t="s">
        <v>817</v>
      </c>
      <c r="C26" s="273" t="s">
        <v>818</v>
      </c>
      <c r="D26" s="269" t="s">
        <v>584</v>
      </c>
      <c r="E26" s="270" t="s">
        <v>550</v>
      </c>
      <c r="F26" s="270" t="s">
        <v>819</v>
      </c>
      <c r="G26" s="273" t="s">
        <v>706</v>
      </c>
      <c r="H26" s="270" t="s">
        <v>820</v>
      </c>
      <c r="I26" s="298" t="s">
        <v>821</v>
      </c>
      <c r="J26" s="274" t="s">
        <v>258</v>
      </c>
      <c r="K26" s="274" t="s">
        <v>822</v>
      </c>
      <c r="L26" s="270" t="s">
        <v>823</v>
      </c>
      <c r="M26" s="284" t="s">
        <v>304</v>
      </c>
    </row>
    <row r="27" spans="1:13" ht="15.6">
      <c r="A27" s="267" t="s">
        <v>76</v>
      </c>
      <c r="B27" s="267" t="s">
        <v>824</v>
      </c>
      <c r="C27" s="273" t="s">
        <v>825</v>
      </c>
      <c r="D27" s="269" t="s">
        <v>826</v>
      </c>
      <c r="E27" s="270" t="s">
        <v>550</v>
      </c>
      <c r="F27" s="270" t="s">
        <v>819</v>
      </c>
      <c r="G27" s="273" t="s">
        <v>706</v>
      </c>
      <c r="H27" s="270" t="s">
        <v>569</v>
      </c>
      <c r="I27" s="298" t="s">
        <v>821</v>
      </c>
      <c r="J27" s="274" t="s">
        <v>258</v>
      </c>
      <c r="K27" s="274" t="s">
        <v>822</v>
      </c>
      <c r="L27" s="270" t="s">
        <v>823</v>
      </c>
      <c r="M27" s="284" t="s">
        <v>304</v>
      </c>
    </row>
    <row r="28" spans="1:13" ht="15.6">
      <c r="A28" s="267" t="s">
        <v>76</v>
      </c>
      <c r="B28" s="267" t="s">
        <v>827</v>
      </c>
      <c r="C28" s="273" t="s">
        <v>828</v>
      </c>
      <c r="D28" s="269" t="s">
        <v>829</v>
      </c>
      <c r="E28" s="270" t="s">
        <v>550</v>
      </c>
      <c r="F28" s="270" t="s">
        <v>819</v>
      </c>
      <c r="G28" s="273" t="s">
        <v>706</v>
      </c>
      <c r="H28" s="270" t="s">
        <v>571</v>
      </c>
      <c r="I28" s="298">
        <v>2030</v>
      </c>
      <c r="J28" s="274" t="s">
        <v>258</v>
      </c>
      <c r="K28" s="274" t="s">
        <v>822</v>
      </c>
      <c r="L28" s="270" t="s">
        <v>789</v>
      </c>
      <c r="M28" s="284" t="s">
        <v>304</v>
      </c>
    </row>
    <row r="29" spans="1:13" ht="15.6">
      <c r="A29" s="267" t="s">
        <v>76</v>
      </c>
      <c r="B29" s="267" t="s">
        <v>830</v>
      </c>
      <c r="C29" s="273" t="s">
        <v>831</v>
      </c>
      <c r="D29" s="269" t="s">
        <v>832</v>
      </c>
      <c r="E29" s="270" t="s">
        <v>550</v>
      </c>
      <c r="F29" s="270" t="s">
        <v>819</v>
      </c>
      <c r="G29" s="273" t="s">
        <v>706</v>
      </c>
      <c r="H29" s="270" t="s">
        <v>833</v>
      </c>
      <c r="I29" s="298">
        <v>2030</v>
      </c>
      <c r="J29" s="274" t="s">
        <v>258</v>
      </c>
      <c r="K29" s="274" t="s">
        <v>822</v>
      </c>
      <c r="L29" s="270" t="s">
        <v>789</v>
      </c>
      <c r="M29" s="284" t="s">
        <v>304</v>
      </c>
    </row>
    <row r="30" spans="1:13" ht="15.6">
      <c r="A30" s="267" t="s">
        <v>76</v>
      </c>
      <c r="B30" s="267" t="s">
        <v>834</v>
      </c>
      <c r="C30" s="268" t="s">
        <v>835</v>
      </c>
      <c r="D30" s="269" t="s">
        <v>565</v>
      </c>
      <c r="E30" s="267" t="s">
        <v>564</v>
      </c>
      <c r="F30" s="267" t="s">
        <v>836</v>
      </c>
      <c r="G30" s="268" t="s">
        <v>706</v>
      </c>
      <c r="H30" s="270" t="s">
        <v>837</v>
      </c>
      <c r="I30" s="298">
        <v>2050</v>
      </c>
      <c r="J30" s="267" t="s">
        <v>800</v>
      </c>
      <c r="K30" s="267" t="s">
        <v>838</v>
      </c>
      <c r="L30" s="267" t="s">
        <v>764</v>
      </c>
      <c r="M30" s="283" t="s">
        <v>304</v>
      </c>
    </row>
    <row r="31" spans="1:13" ht="15.6">
      <c r="A31" s="267" t="s">
        <v>76</v>
      </c>
      <c r="B31" s="267" t="s">
        <v>839</v>
      </c>
      <c r="C31" s="268" t="s">
        <v>840</v>
      </c>
      <c r="D31" s="269" t="s">
        <v>548</v>
      </c>
      <c r="E31" s="267" t="s">
        <v>550</v>
      </c>
      <c r="F31" s="267" t="s">
        <v>787</v>
      </c>
      <c r="G31" s="268" t="s">
        <v>706</v>
      </c>
      <c r="H31" s="270" t="s">
        <v>841</v>
      </c>
      <c r="I31" s="298">
        <v>2050</v>
      </c>
      <c r="J31" s="267" t="s">
        <v>258</v>
      </c>
      <c r="K31" s="267" t="s">
        <v>236</v>
      </c>
      <c r="L31" s="267" t="s">
        <v>823</v>
      </c>
      <c r="M31" s="283" t="s">
        <v>304</v>
      </c>
    </row>
    <row r="32" spans="1:13" ht="15.6">
      <c r="A32" s="267" t="s">
        <v>76</v>
      </c>
      <c r="B32" s="267" t="s">
        <v>842</v>
      </c>
      <c r="C32" s="268" t="s">
        <v>843</v>
      </c>
      <c r="D32" s="269" t="s">
        <v>551</v>
      </c>
      <c r="E32" s="267" t="s">
        <v>550</v>
      </c>
      <c r="F32" s="267" t="s">
        <v>734</v>
      </c>
      <c r="G32" s="268" t="s">
        <v>706</v>
      </c>
      <c r="H32" s="270" t="s">
        <v>552</v>
      </c>
      <c r="I32" s="298">
        <v>2050</v>
      </c>
      <c r="J32" s="267" t="s">
        <v>258</v>
      </c>
      <c r="K32" s="267" t="s">
        <v>236</v>
      </c>
      <c r="L32" s="267" t="s">
        <v>823</v>
      </c>
      <c r="M32" s="283" t="s">
        <v>304</v>
      </c>
    </row>
    <row r="33" spans="1:13" ht="15.6">
      <c r="A33" s="267" t="s">
        <v>76</v>
      </c>
      <c r="B33" s="267" t="s">
        <v>844</v>
      </c>
      <c r="C33" s="268" t="s">
        <v>845</v>
      </c>
      <c r="D33" s="269" t="s">
        <v>545</v>
      </c>
      <c r="E33" s="267" t="s">
        <v>249</v>
      </c>
      <c r="F33" s="267" t="s">
        <v>846</v>
      </c>
      <c r="G33" s="268" t="s">
        <v>706</v>
      </c>
      <c r="H33" s="270" t="s">
        <v>546</v>
      </c>
      <c r="I33" s="298" t="s">
        <v>807</v>
      </c>
      <c r="J33" s="267" t="s">
        <v>258</v>
      </c>
      <c r="K33" s="267" t="s">
        <v>847</v>
      </c>
      <c r="L33" s="267" t="s">
        <v>285</v>
      </c>
      <c r="M33" s="283" t="s">
        <v>304</v>
      </c>
    </row>
    <row r="34" spans="1:13" ht="15.6">
      <c r="A34" s="267" t="s">
        <v>76</v>
      </c>
      <c r="B34" s="267" t="s">
        <v>848</v>
      </c>
      <c r="C34" s="268" t="s">
        <v>849</v>
      </c>
      <c r="D34" s="269" t="s">
        <v>542</v>
      </c>
      <c r="E34" s="267" t="s">
        <v>550</v>
      </c>
      <c r="F34" s="267" t="s">
        <v>850</v>
      </c>
      <c r="G34" s="275" t="s">
        <v>851</v>
      </c>
      <c r="H34" s="270" t="s">
        <v>543</v>
      </c>
      <c r="I34" s="298">
        <v>2050</v>
      </c>
      <c r="J34" s="267" t="s">
        <v>258</v>
      </c>
      <c r="K34" s="267" t="s">
        <v>280</v>
      </c>
      <c r="L34" s="267" t="s">
        <v>443</v>
      </c>
      <c r="M34" s="283" t="s">
        <v>304</v>
      </c>
    </row>
    <row r="35" spans="1:13" ht="15.6">
      <c r="A35" s="267" t="s">
        <v>76</v>
      </c>
      <c r="B35" s="267" t="s">
        <v>852</v>
      </c>
      <c r="C35" s="268" t="s">
        <v>853</v>
      </c>
      <c r="D35" s="269" t="s">
        <v>562</v>
      </c>
      <c r="E35" s="267" t="s">
        <v>564</v>
      </c>
      <c r="F35" s="267" t="s">
        <v>799</v>
      </c>
      <c r="G35" s="268" t="s">
        <v>706</v>
      </c>
      <c r="H35" s="270" t="s">
        <v>563</v>
      </c>
      <c r="I35" s="298" t="s">
        <v>807</v>
      </c>
      <c r="J35" s="267" t="s">
        <v>800</v>
      </c>
      <c r="K35" s="267" t="s">
        <v>801</v>
      </c>
      <c r="L35" s="267" t="s">
        <v>302</v>
      </c>
      <c r="M35" s="283" t="s">
        <v>304</v>
      </c>
    </row>
    <row r="36" spans="1:13" ht="15.6">
      <c r="A36" s="267" t="s">
        <v>76</v>
      </c>
      <c r="B36" s="267" t="s">
        <v>854</v>
      </c>
      <c r="C36" s="268" t="s">
        <v>855</v>
      </c>
      <c r="D36" s="269" t="s">
        <v>582</v>
      </c>
      <c r="E36" s="267" t="s">
        <v>550</v>
      </c>
      <c r="F36" s="270" t="s">
        <v>856</v>
      </c>
      <c r="G36" s="268" t="s">
        <v>706</v>
      </c>
      <c r="H36" s="270" t="s">
        <v>583</v>
      </c>
      <c r="I36" s="298" t="s">
        <v>807</v>
      </c>
      <c r="J36" s="267" t="s">
        <v>258</v>
      </c>
      <c r="K36" s="267" t="s">
        <v>241</v>
      </c>
      <c r="L36" s="267" t="s">
        <v>857</v>
      </c>
      <c r="M36" s="283" t="s">
        <v>304</v>
      </c>
    </row>
    <row r="37" spans="1:13" ht="15.6">
      <c r="A37" s="267" t="s">
        <v>76</v>
      </c>
      <c r="B37" s="267" t="s">
        <v>858</v>
      </c>
      <c r="C37" s="268" t="s">
        <v>859</v>
      </c>
      <c r="D37" s="269" t="s">
        <v>580</v>
      </c>
      <c r="E37" s="267" t="s">
        <v>550</v>
      </c>
      <c r="F37" s="270" t="s">
        <v>856</v>
      </c>
      <c r="G37" s="268" t="s">
        <v>706</v>
      </c>
      <c r="H37" s="270" t="s">
        <v>581</v>
      </c>
      <c r="I37" s="298" t="s">
        <v>807</v>
      </c>
      <c r="J37" s="267" t="s">
        <v>258</v>
      </c>
      <c r="K37" s="267" t="s">
        <v>241</v>
      </c>
      <c r="L37" s="267" t="s">
        <v>857</v>
      </c>
      <c r="M37" s="283" t="s">
        <v>304</v>
      </c>
    </row>
    <row r="38" spans="1:13" ht="15.6">
      <c r="A38" s="267" t="s">
        <v>76</v>
      </c>
      <c r="B38" s="267" t="s">
        <v>860</v>
      </c>
      <c r="C38" s="268" t="s">
        <v>861</v>
      </c>
      <c r="D38" s="269" t="s">
        <v>572</v>
      </c>
      <c r="E38" s="267" t="s">
        <v>550</v>
      </c>
      <c r="F38" s="270" t="s">
        <v>856</v>
      </c>
      <c r="G38" s="268" t="s">
        <v>706</v>
      </c>
      <c r="H38" s="270" t="s">
        <v>573</v>
      </c>
      <c r="I38" s="298" t="s">
        <v>807</v>
      </c>
      <c r="J38" s="267" t="s">
        <v>258</v>
      </c>
      <c r="K38" s="267" t="s">
        <v>241</v>
      </c>
      <c r="L38" s="267" t="s">
        <v>862</v>
      </c>
      <c r="M38" s="283" t="s">
        <v>304</v>
      </c>
    </row>
    <row r="39" spans="1:13" ht="15.6">
      <c r="A39" s="267" t="s">
        <v>76</v>
      </c>
      <c r="B39" s="267" t="s">
        <v>863</v>
      </c>
      <c r="C39" s="268" t="s">
        <v>864</v>
      </c>
      <c r="D39" s="269" t="s">
        <v>576</v>
      </c>
      <c r="E39" s="267" t="s">
        <v>550</v>
      </c>
      <c r="F39" s="270" t="s">
        <v>856</v>
      </c>
      <c r="G39" s="268" t="s">
        <v>706</v>
      </c>
      <c r="H39" s="270" t="s">
        <v>577</v>
      </c>
      <c r="I39" s="298" t="s">
        <v>807</v>
      </c>
      <c r="J39" s="267" t="s">
        <v>258</v>
      </c>
      <c r="K39" s="267" t="s">
        <v>241</v>
      </c>
      <c r="L39" s="267" t="s">
        <v>865</v>
      </c>
      <c r="M39" s="283" t="s">
        <v>304</v>
      </c>
    </row>
    <row r="40" spans="1:13" ht="15.6">
      <c r="A40" s="318" t="s">
        <v>76</v>
      </c>
      <c r="B40" s="318" t="s">
        <v>866</v>
      </c>
      <c r="C40" s="319" t="s">
        <v>867</v>
      </c>
      <c r="D40" s="320" t="s">
        <v>578</v>
      </c>
      <c r="E40" s="318" t="s">
        <v>550</v>
      </c>
      <c r="F40" s="321" t="s">
        <v>856</v>
      </c>
      <c r="G40" s="319" t="s">
        <v>706</v>
      </c>
      <c r="H40" s="321" t="s">
        <v>579</v>
      </c>
      <c r="I40" s="322" t="s">
        <v>814</v>
      </c>
      <c r="J40" s="318" t="s">
        <v>258</v>
      </c>
      <c r="K40" s="318" t="s">
        <v>241</v>
      </c>
      <c r="L40" s="318" t="s">
        <v>295</v>
      </c>
      <c r="M40" s="323" t="s">
        <v>304</v>
      </c>
    </row>
    <row r="41" spans="1:13" s="147" customFormat="1" ht="15.6">
      <c r="A41" s="267" t="s">
        <v>76</v>
      </c>
      <c r="B41" s="267" t="s">
        <v>868</v>
      </c>
      <c r="C41" s="268" t="s">
        <v>869</v>
      </c>
      <c r="D41" s="269" t="s">
        <v>696</v>
      </c>
      <c r="E41" s="267" t="s">
        <v>870</v>
      </c>
      <c r="F41" s="270" t="s">
        <v>871</v>
      </c>
      <c r="G41" s="268" t="s">
        <v>706</v>
      </c>
      <c r="H41" s="270" t="s">
        <v>697</v>
      </c>
      <c r="I41" s="298" t="s">
        <v>807</v>
      </c>
      <c r="J41" s="267" t="s">
        <v>276</v>
      </c>
      <c r="K41" s="267" t="s">
        <v>265</v>
      </c>
      <c r="L41" s="267" t="s">
        <v>294</v>
      </c>
      <c r="M41" s="283" t="s">
        <v>304</v>
      </c>
    </row>
    <row r="42" spans="1:13" s="147" customFormat="1" ht="15.6">
      <c r="A42" s="267" t="s">
        <v>76</v>
      </c>
      <c r="B42" s="267" t="s">
        <v>872</v>
      </c>
      <c r="C42" s="268" t="s">
        <v>873</v>
      </c>
      <c r="D42" s="269" t="s">
        <v>693</v>
      </c>
      <c r="E42" s="267" t="s">
        <v>870</v>
      </c>
      <c r="F42" s="270" t="s">
        <v>871</v>
      </c>
      <c r="G42" s="268" t="s">
        <v>706</v>
      </c>
      <c r="H42" s="270" t="s">
        <v>694</v>
      </c>
      <c r="I42" s="298" t="s">
        <v>807</v>
      </c>
      <c r="J42" s="267" t="s">
        <v>276</v>
      </c>
      <c r="K42" s="267" t="s">
        <v>265</v>
      </c>
      <c r="L42" s="267" t="s">
        <v>292</v>
      </c>
      <c r="M42" s="283" t="s">
        <v>304</v>
      </c>
    </row>
    <row r="43" spans="1:13" s="147" customFormat="1" ht="15.6">
      <c r="A43" s="318" t="s">
        <v>76</v>
      </c>
      <c r="B43" s="318" t="s">
        <v>874</v>
      </c>
      <c r="C43" s="319" t="s">
        <v>875</v>
      </c>
      <c r="D43" s="324" t="s">
        <v>876</v>
      </c>
      <c r="E43" s="318" t="s">
        <v>870</v>
      </c>
      <c r="F43" s="321" t="s">
        <v>871</v>
      </c>
      <c r="G43" s="319" t="s">
        <v>706</v>
      </c>
      <c r="H43" s="321" t="s">
        <v>697</v>
      </c>
      <c r="I43" s="322">
        <v>2050</v>
      </c>
      <c r="J43" s="318" t="s">
        <v>276</v>
      </c>
      <c r="K43" s="318" t="s">
        <v>265</v>
      </c>
      <c r="L43" s="318" t="s">
        <v>294</v>
      </c>
      <c r="M43" s="323" t="s">
        <v>304</v>
      </c>
    </row>
    <row r="44" spans="1:13" s="147" customFormat="1" ht="15.6">
      <c r="A44" s="267" t="s">
        <v>76</v>
      </c>
      <c r="B44" s="267" t="s">
        <v>877</v>
      </c>
      <c r="C44" s="268" t="s">
        <v>878</v>
      </c>
      <c r="D44" s="269" t="s">
        <v>641</v>
      </c>
      <c r="E44" s="267" t="s">
        <v>879</v>
      </c>
      <c r="F44" s="270" t="s">
        <v>776</v>
      </c>
      <c r="G44" s="268" t="s">
        <v>706</v>
      </c>
      <c r="H44" s="270" t="s">
        <v>880</v>
      </c>
      <c r="I44" s="298" t="s">
        <v>741</v>
      </c>
      <c r="J44" s="269" t="s">
        <v>260</v>
      </c>
      <c r="K44" s="267" t="s">
        <v>232</v>
      </c>
      <c r="L44" s="267" t="s">
        <v>881</v>
      </c>
      <c r="M44" s="283" t="s">
        <v>304</v>
      </c>
    </row>
    <row r="45" spans="1:13" ht="15.6">
      <c r="A45" s="267" t="s">
        <v>76</v>
      </c>
      <c r="B45" s="267" t="s">
        <v>882</v>
      </c>
      <c r="C45" s="268" t="s">
        <v>883</v>
      </c>
      <c r="D45" s="269" t="s">
        <v>649</v>
      </c>
      <c r="E45" s="267" t="s">
        <v>879</v>
      </c>
      <c r="F45" s="270" t="s">
        <v>884</v>
      </c>
      <c r="G45" s="268" t="s">
        <v>706</v>
      </c>
      <c r="H45" s="270" t="s">
        <v>650</v>
      </c>
      <c r="I45" s="298">
        <v>2030</v>
      </c>
      <c r="J45" s="267" t="s">
        <v>260</v>
      </c>
      <c r="K45" s="267" t="s">
        <v>273</v>
      </c>
      <c r="L45" s="267" t="s">
        <v>285</v>
      </c>
      <c r="M45" s="283" t="s">
        <v>304</v>
      </c>
    </row>
    <row r="46" spans="1:13" ht="15.6">
      <c r="A46" s="267" t="s">
        <v>76</v>
      </c>
      <c r="B46" s="267" t="s">
        <v>885</v>
      </c>
      <c r="C46" s="268" t="s">
        <v>886</v>
      </c>
      <c r="D46" s="269" t="s">
        <v>646</v>
      </c>
      <c r="E46" s="267" t="s">
        <v>887</v>
      </c>
      <c r="F46" s="270" t="s">
        <v>884</v>
      </c>
      <c r="G46" s="268" t="s">
        <v>706</v>
      </c>
      <c r="H46" s="270" t="s">
        <v>497</v>
      </c>
      <c r="I46" s="298">
        <v>2030</v>
      </c>
      <c r="J46" s="267" t="s">
        <v>266</v>
      </c>
      <c r="K46" s="267" t="s">
        <v>273</v>
      </c>
      <c r="L46" s="267" t="s">
        <v>285</v>
      </c>
      <c r="M46" s="283" t="s">
        <v>304</v>
      </c>
    </row>
    <row r="47" spans="1:13" ht="15.6">
      <c r="A47" s="267" t="s">
        <v>76</v>
      </c>
      <c r="B47" s="267" t="s">
        <v>888</v>
      </c>
      <c r="C47" s="268" t="s">
        <v>889</v>
      </c>
      <c r="D47" s="269" t="s">
        <v>647</v>
      </c>
      <c r="E47" s="267" t="s">
        <v>879</v>
      </c>
      <c r="F47" s="270" t="s">
        <v>884</v>
      </c>
      <c r="G47" s="268" t="s">
        <v>706</v>
      </c>
      <c r="H47" s="270" t="s">
        <v>648</v>
      </c>
      <c r="I47" s="298">
        <v>2030</v>
      </c>
      <c r="J47" s="267" t="s">
        <v>260</v>
      </c>
      <c r="K47" s="267" t="s">
        <v>273</v>
      </c>
      <c r="L47" s="267" t="s">
        <v>302</v>
      </c>
      <c r="M47" s="283" t="s">
        <v>304</v>
      </c>
    </row>
    <row r="48" spans="1:13" ht="15.6">
      <c r="A48" s="267" t="s">
        <v>76</v>
      </c>
      <c r="B48" s="267" t="s">
        <v>890</v>
      </c>
      <c r="C48" s="268" t="s">
        <v>891</v>
      </c>
      <c r="D48" s="269" t="s">
        <v>643</v>
      </c>
      <c r="E48" s="267" t="s">
        <v>887</v>
      </c>
      <c r="F48" s="270" t="s">
        <v>884</v>
      </c>
      <c r="G48" s="268" t="s">
        <v>706</v>
      </c>
      <c r="H48" s="270" t="s">
        <v>644</v>
      </c>
      <c r="I48" s="298">
        <v>2030</v>
      </c>
      <c r="J48" s="267" t="s">
        <v>266</v>
      </c>
      <c r="K48" s="267" t="s">
        <v>273</v>
      </c>
      <c r="L48" s="267" t="s">
        <v>302</v>
      </c>
      <c r="M48" s="283" t="s">
        <v>304</v>
      </c>
    </row>
    <row r="49" spans="1:13" ht="15.6">
      <c r="A49" s="267" t="s">
        <v>76</v>
      </c>
      <c r="B49" s="267" t="s">
        <v>892</v>
      </c>
      <c r="C49" s="272" t="s">
        <v>893</v>
      </c>
      <c r="D49" s="269" t="s">
        <v>894</v>
      </c>
      <c r="E49" s="267" t="s">
        <v>895</v>
      </c>
      <c r="F49" s="270" t="s">
        <v>896</v>
      </c>
      <c r="G49" s="268" t="s">
        <v>706</v>
      </c>
      <c r="H49" s="270" t="s">
        <v>897</v>
      </c>
      <c r="I49" s="298" t="s">
        <v>741</v>
      </c>
      <c r="J49" s="267" t="s">
        <v>262</v>
      </c>
      <c r="K49" s="267" t="s">
        <v>229</v>
      </c>
      <c r="L49" s="267" t="s">
        <v>285</v>
      </c>
      <c r="M49" s="283" t="s">
        <v>304</v>
      </c>
    </row>
    <row r="50" spans="1:13" ht="15.6">
      <c r="A50" s="267" t="s">
        <v>76</v>
      </c>
      <c r="B50" s="267" t="s">
        <v>898</v>
      </c>
      <c r="C50" s="268" t="s">
        <v>899</v>
      </c>
      <c r="D50" s="269" t="s">
        <v>654</v>
      </c>
      <c r="E50" s="267" t="s">
        <v>900</v>
      </c>
      <c r="F50" s="270" t="s">
        <v>901</v>
      </c>
      <c r="G50" s="268" t="s">
        <v>706</v>
      </c>
      <c r="H50" s="270" t="s">
        <v>655</v>
      </c>
      <c r="I50" s="298" t="s">
        <v>807</v>
      </c>
      <c r="J50" s="267" t="s">
        <v>262</v>
      </c>
      <c r="K50" s="267" t="s">
        <v>277</v>
      </c>
      <c r="L50" s="267" t="s">
        <v>504</v>
      </c>
      <c r="M50" s="283" t="s">
        <v>304</v>
      </c>
    </row>
    <row r="51" spans="1:13" ht="15.6">
      <c r="A51" s="267" t="s">
        <v>76</v>
      </c>
      <c r="B51" s="267" t="s">
        <v>902</v>
      </c>
      <c r="C51" s="268" t="s">
        <v>903</v>
      </c>
      <c r="D51" s="269" t="s">
        <v>904</v>
      </c>
      <c r="E51" s="267" t="s">
        <v>900</v>
      </c>
      <c r="F51" s="270" t="s">
        <v>901</v>
      </c>
      <c r="G51" s="268" t="s">
        <v>706</v>
      </c>
      <c r="H51" s="270" t="s">
        <v>657</v>
      </c>
      <c r="I51" s="298" t="s">
        <v>807</v>
      </c>
      <c r="J51" s="267" t="s">
        <v>262</v>
      </c>
      <c r="K51" s="267" t="s">
        <v>277</v>
      </c>
      <c r="L51" s="267" t="s">
        <v>417</v>
      </c>
      <c r="M51" s="283" t="s">
        <v>304</v>
      </c>
    </row>
    <row r="52" spans="1:13" ht="15.6">
      <c r="A52" s="267" t="s">
        <v>76</v>
      </c>
      <c r="B52" s="267" t="s">
        <v>905</v>
      </c>
      <c r="C52" s="268" t="s">
        <v>906</v>
      </c>
      <c r="D52" s="269" t="s">
        <v>659</v>
      </c>
      <c r="E52" s="267" t="s">
        <v>907</v>
      </c>
      <c r="F52" s="267" t="s">
        <v>908</v>
      </c>
      <c r="G52" s="268" t="s">
        <v>706</v>
      </c>
      <c r="H52" s="270" t="s">
        <v>909</v>
      </c>
      <c r="I52" s="298" t="s">
        <v>807</v>
      </c>
      <c r="J52" s="267" t="s">
        <v>263</v>
      </c>
      <c r="K52" s="267" t="s">
        <v>277</v>
      </c>
      <c r="L52" s="267" t="s">
        <v>382</v>
      </c>
      <c r="M52" s="283" t="s">
        <v>304</v>
      </c>
    </row>
    <row r="53" spans="1:13" ht="15.6">
      <c r="A53" s="267" t="s">
        <v>76</v>
      </c>
      <c r="B53" s="267" t="s">
        <v>910</v>
      </c>
      <c r="C53" s="268" t="s">
        <v>911</v>
      </c>
      <c r="D53" s="269" t="s">
        <v>658</v>
      </c>
      <c r="E53" s="267" t="s">
        <v>907</v>
      </c>
      <c r="F53" s="267" t="s">
        <v>908</v>
      </c>
      <c r="G53" s="268" t="s">
        <v>706</v>
      </c>
      <c r="H53" s="270" t="s">
        <v>912</v>
      </c>
      <c r="I53" s="298" t="s">
        <v>741</v>
      </c>
      <c r="J53" s="267" t="s">
        <v>263</v>
      </c>
      <c r="K53" s="267" t="s">
        <v>277</v>
      </c>
      <c r="L53" s="267" t="s">
        <v>417</v>
      </c>
      <c r="M53" s="283" t="s">
        <v>304</v>
      </c>
    </row>
    <row r="54" spans="1:13" ht="15.6">
      <c r="A54" s="318" t="s">
        <v>76</v>
      </c>
      <c r="B54" s="318" t="s">
        <v>913</v>
      </c>
      <c r="C54" s="319" t="s">
        <v>914</v>
      </c>
      <c r="D54" s="320" t="s">
        <v>532</v>
      </c>
      <c r="E54" s="318" t="s">
        <v>233</v>
      </c>
      <c r="F54" s="318" t="s">
        <v>274</v>
      </c>
      <c r="G54" s="319" t="s">
        <v>706</v>
      </c>
      <c r="H54" s="321" t="s">
        <v>533</v>
      </c>
      <c r="I54" s="322" t="s">
        <v>814</v>
      </c>
      <c r="J54" s="318" t="s">
        <v>258</v>
      </c>
      <c r="K54" s="318" t="s">
        <v>274</v>
      </c>
      <c r="L54" s="318" t="s">
        <v>299</v>
      </c>
      <c r="M54" s="323" t="s">
        <v>628</v>
      </c>
    </row>
    <row r="55" spans="1:13" ht="15.6">
      <c r="A55" s="267" t="s">
        <v>76</v>
      </c>
      <c r="B55" s="267" t="s">
        <v>915</v>
      </c>
      <c r="C55" s="268" t="s">
        <v>916</v>
      </c>
      <c r="D55" s="269" t="s">
        <v>690</v>
      </c>
      <c r="E55" s="267" t="s">
        <v>917</v>
      </c>
      <c r="F55" s="270" t="s">
        <v>918</v>
      </c>
      <c r="G55" s="268" t="s">
        <v>706</v>
      </c>
      <c r="H55" s="270" t="s">
        <v>691</v>
      </c>
      <c r="I55" s="298">
        <v>2025</v>
      </c>
      <c r="J55" s="267" t="s">
        <v>255</v>
      </c>
      <c r="K55" s="267" t="s">
        <v>283</v>
      </c>
      <c r="L55" s="267" t="s">
        <v>300</v>
      </c>
      <c r="M55" s="283" t="s">
        <v>304</v>
      </c>
    </row>
    <row r="56" spans="1:13" ht="15.6">
      <c r="A56" s="267" t="s">
        <v>76</v>
      </c>
      <c r="B56" s="267" t="s">
        <v>919</v>
      </c>
      <c r="C56" s="268" t="s">
        <v>920</v>
      </c>
      <c r="D56" s="269" t="s">
        <v>921</v>
      </c>
      <c r="E56" s="267" t="s">
        <v>917</v>
      </c>
      <c r="F56" s="270" t="s">
        <v>918</v>
      </c>
      <c r="G56" s="268" t="s">
        <v>706</v>
      </c>
      <c r="H56" s="270" t="s">
        <v>677</v>
      </c>
      <c r="I56" s="298">
        <v>2030</v>
      </c>
      <c r="J56" s="267" t="s">
        <v>255</v>
      </c>
      <c r="K56" s="267" t="s">
        <v>283</v>
      </c>
      <c r="L56" s="267" t="s">
        <v>262</v>
      </c>
      <c r="M56" s="283" t="s">
        <v>304</v>
      </c>
    </row>
    <row r="57" spans="1:13" ht="15.6">
      <c r="A57" s="267" t="s">
        <v>76</v>
      </c>
      <c r="B57" s="267" t="s">
        <v>922</v>
      </c>
      <c r="C57" s="268" t="s">
        <v>923</v>
      </c>
      <c r="D57" s="269" t="s">
        <v>688</v>
      </c>
      <c r="E57" s="267" t="s">
        <v>917</v>
      </c>
      <c r="F57" s="270" t="s">
        <v>918</v>
      </c>
      <c r="G57" s="268" t="s">
        <v>706</v>
      </c>
      <c r="H57" s="270" t="s">
        <v>689</v>
      </c>
      <c r="I57" s="298">
        <v>2025</v>
      </c>
      <c r="J57" s="267" t="s">
        <v>255</v>
      </c>
      <c r="K57" s="267" t="s">
        <v>283</v>
      </c>
      <c r="L57" s="267" t="s">
        <v>302</v>
      </c>
      <c r="M57" s="283" t="s">
        <v>304</v>
      </c>
    </row>
    <row r="58" spans="1:13" s="147" customFormat="1" ht="15.6">
      <c r="A58" s="267" t="s">
        <v>924</v>
      </c>
      <c r="B58" s="267" t="s">
        <v>925</v>
      </c>
      <c r="C58" s="268" t="s">
        <v>926</v>
      </c>
      <c r="D58" s="272" t="s">
        <v>927</v>
      </c>
      <c r="E58" s="267" t="s">
        <v>550</v>
      </c>
      <c r="F58" s="267" t="s">
        <v>928</v>
      </c>
      <c r="G58" s="267" t="s">
        <v>706</v>
      </c>
      <c r="H58" s="267" t="s">
        <v>929</v>
      </c>
      <c r="I58" s="298" t="s">
        <v>930</v>
      </c>
      <c r="J58" s="267" t="s">
        <v>258</v>
      </c>
      <c r="K58" s="267" t="s">
        <v>931</v>
      </c>
      <c r="L58" s="267" t="s">
        <v>932</v>
      </c>
      <c r="M58" s="283" t="s">
        <v>304</v>
      </c>
    </row>
    <row r="59" spans="1:13" ht="15.6">
      <c r="A59" s="267" t="s">
        <v>924</v>
      </c>
      <c r="B59" s="267" t="s">
        <v>933</v>
      </c>
      <c r="C59" s="268" t="s">
        <v>934</v>
      </c>
      <c r="D59" s="272" t="s">
        <v>935</v>
      </c>
      <c r="E59" s="267" t="s">
        <v>550</v>
      </c>
      <c r="F59" s="267" t="s">
        <v>928</v>
      </c>
      <c r="G59" s="267" t="s">
        <v>706</v>
      </c>
      <c r="H59" s="267" t="s">
        <v>936</v>
      </c>
      <c r="I59" s="298" t="s">
        <v>930</v>
      </c>
      <c r="J59" s="267" t="s">
        <v>258</v>
      </c>
      <c r="K59" s="267" t="s">
        <v>931</v>
      </c>
      <c r="L59" s="267" t="s">
        <v>937</v>
      </c>
      <c r="M59" s="283" t="s">
        <v>304</v>
      </c>
    </row>
    <row r="60" spans="1:13" ht="15.6">
      <c r="A60" s="267" t="s">
        <v>924</v>
      </c>
      <c r="B60" s="267" t="s">
        <v>938</v>
      </c>
      <c r="C60" s="268" t="s">
        <v>939</v>
      </c>
      <c r="D60" s="272" t="s">
        <v>940</v>
      </c>
      <c r="E60" s="267" t="s">
        <v>550</v>
      </c>
      <c r="F60" s="267" t="s">
        <v>941</v>
      </c>
      <c r="G60" s="267" t="s">
        <v>706</v>
      </c>
      <c r="H60" s="267" t="s">
        <v>942</v>
      </c>
      <c r="I60" s="298" t="s">
        <v>930</v>
      </c>
      <c r="J60" s="267" t="s">
        <v>258</v>
      </c>
      <c r="K60" s="267" t="s">
        <v>931</v>
      </c>
      <c r="L60" s="267" t="s">
        <v>943</v>
      </c>
      <c r="M60" s="283" t="s">
        <v>304</v>
      </c>
    </row>
    <row r="61" spans="1:13" ht="15.6">
      <c r="A61" s="318" t="s">
        <v>76</v>
      </c>
      <c r="B61" s="318" t="s">
        <v>944</v>
      </c>
      <c r="C61" s="319" t="s">
        <v>945</v>
      </c>
      <c r="D61" s="320" t="s">
        <v>632</v>
      </c>
      <c r="E61" s="318" t="s">
        <v>946</v>
      </c>
      <c r="F61" s="318" t="s">
        <v>745</v>
      </c>
      <c r="G61" s="319" t="s">
        <v>706</v>
      </c>
      <c r="H61" s="321" t="s">
        <v>633</v>
      </c>
      <c r="I61" s="322" t="s">
        <v>264</v>
      </c>
      <c r="J61" s="318" t="s">
        <v>267</v>
      </c>
      <c r="K61" s="318" t="s">
        <v>747</v>
      </c>
      <c r="L61" s="318" t="s">
        <v>269</v>
      </c>
      <c r="M61" s="323" t="s">
        <v>304</v>
      </c>
    </row>
    <row r="62" spans="1:13" ht="15.6">
      <c r="A62" s="318" t="s">
        <v>76</v>
      </c>
      <c r="B62" s="318" t="s">
        <v>947</v>
      </c>
      <c r="C62" s="319" t="s">
        <v>948</v>
      </c>
      <c r="D62" s="324" t="s">
        <v>949</v>
      </c>
      <c r="E62" s="318" t="s">
        <v>950</v>
      </c>
      <c r="F62" s="321" t="s">
        <v>951</v>
      </c>
      <c r="G62" s="319" t="s">
        <v>706</v>
      </c>
      <c r="H62" s="321" t="s">
        <v>609</v>
      </c>
      <c r="I62" s="322" t="s">
        <v>814</v>
      </c>
      <c r="J62" s="318" t="s">
        <v>267</v>
      </c>
      <c r="K62" s="318" t="s">
        <v>952</v>
      </c>
      <c r="L62" s="318" t="s">
        <v>285</v>
      </c>
      <c r="M62" s="323" t="s">
        <v>304</v>
      </c>
    </row>
    <row r="63" spans="1:13" s="147" customFormat="1" ht="15.6">
      <c r="A63" s="318" t="s">
        <v>76</v>
      </c>
      <c r="B63" s="318" t="s">
        <v>953</v>
      </c>
      <c r="C63" s="319" t="s">
        <v>954</v>
      </c>
      <c r="D63" s="320" t="s">
        <v>611</v>
      </c>
      <c r="E63" s="318" t="s">
        <v>950</v>
      </c>
      <c r="F63" s="321" t="s">
        <v>955</v>
      </c>
      <c r="G63" s="319" t="s">
        <v>706</v>
      </c>
      <c r="H63" s="321" t="s">
        <v>956</v>
      </c>
      <c r="I63" s="322" t="s">
        <v>783</v>
      </c>
      <c r="J63" s="318" t="s">
        <v>267</v>
      </c>
      <c r="K63" s="318" t="s">
        <v>957</v>
      </c>
      <c r="L63" s="318" t="s">
        <v>958</v>
      </c>
      <c r="M63" s="323" t="s">
        <v>304</v>
      </c>
    </row>
    <row r="64" spans="1:13" ht="15.6">
      <c r="A64" s="267" t="s">
        <v>76</v>
      </c>
      <c r="B64" s="267" t="s">
        <v>959</v>
      </c>
      <c r="C64" s="268" t="s">
        <v>960</v>
      </c>
      <c r="D64" s="269" t="s">
        <v>605</v>
      </c>
      <c r="E64" s="267" t="s">
        <v>950</v>
      </c>
      <c r="F64" s="270" t="s">
        <v>961</v>
      </c>
      <c r="G64" s="268" t="s">
        <v>706</v>
      </c>
      <c r="H64" s="270" t="s">
        <v>606</v>
      </c>
      <c r="I64" s="298" t="s">
        <v>814</v>
      </c>
      <c r="J64" s="267" t="s">
        <v>267</v>
      </c>
      <c r="K64" s="267" t="s">
        <v>962</v>
      </c>
      <c r="L64" s="267" t="s">
        <v>269</v>
      </c>
      <c r="M64" s="283" t="s">
        <v>304</v>
      </c>
    </row>
    <row r="65" spans="1:13" ht="15.6">
      <c r="A65" s="267" t="s">
        <v>76</v>
      </c>
      <c r="B65" s="267" t="s">
        <v>963</v>
      </c>
      <c r="C65" s="268" t="s">
        <v>964</v>
      </c>
      <c r="D65" s="269" t="s">
        <v>965</v>
      </c>
      <c r="E65" s="267" t="s">
        <v>950</v>
      </c>
      <c r="F65" s="267" t="s">
        <v>235</v>
      </c>
      <c r="G65" s="268" t="s">
        <v>706</v>
      </c>
      <c r="H65" s="270" t="s">
        <v>603</v>
      </c>
      <c r="I65" s="298" t="s">
        <v>807</v>
      </c>
      <c r="J65" s="267" t="s">
        <v>267</v>
      </c>
      <c r="K65" s="267" t="s">
        <v>962</v>
      </c>
      <c r="L65" s="267" t="s">
        <v>269</v>
      </c>
      <c r="M65" s="283" t="s">
        <v>304</v>
      </c>
    </row>
    <row r="66" spans="1:13" ht="15.6">
      <c r="A66" s="267" t="s">
        <v>76</v>
      </c>
      <c r="B66" s="267" t="s">
        <v>966</v>
      </c>
      <c r="C66" s="268" t="s">
        <v>967</v>
      </c>
      <c r="D66" s="269" t="s">
        <v>597</v>
      </c>
      <c r="E66" s="267" t="s">
        <v>950</v>
      </c>
      <c r="F66" s="270" t="s">
        <v>968</v>
      </c>
      <c r="G66" s="268" t="s">
        <v>706</v>
      </c>
      <c r="H66" s="270" t="s">
        <v>598</v>
      </c>
      <c r="I66" s="298" t="s">
        <v>807</v>
      </c>
      <c r="J66" s="267" t="s">
        <v>267</v>
      </c>
      <c r="K66" s="267" t="s">
        <v>969</v>
      </c>
      <c r="L66" s="267" t="s">
        <v>269</v>
      </c>
      <c r="M66" s="283" t="s">
        <v>304</v>
      </c>
    </row>
    <row r="67" spans="1:13" ht="15.6">
      <c r="A67" s="267" t="s">
        <v>76</v>
      </c>
      <c r="B67" s="267" t="s">
        <v>970</v>
      </c>
      <c r="C67" s="268" t="s">
        <v>971</v>
      </c>
      <c r="D67" s="269" t="s">
        <v>594</v>
      </c>
      <c r="E67" s="267" t="s">
        <v>950</v>
      </c>
      <c r="F67" s="270" t="s">
        <v>968</v>
      </c>
      <c r="G67" s="268" t="s">
        <v>706</v>
      </c>
      <c r="H67" s="270" t="s">
        <v>595</v>
      </c>
      <c r="I67" s="298" t="s">
        <v>807</v>
      </c>
      <c r="J67" s="267" t="s">
        <v>267</v>
      </c>
      <c r="K67" s="267" t="s">
        <v>969</v>
      </c>
      <c r="L67" s="267" t="s">
        <v>269</v>
      </c>
      <c r="M67" s="283" t="s">
        <v>304</v>
      </c>
    </row>
    <row r="68" spans="1:13" s="147" customFormat="1" ht="15.6">
      <c r="A68" s="267" t="s">
        <v>76</v>
      </c>
      <c r="B68" s="267" t="s">
        <v>972</v>
      </c>
      <c r="C68" s="268" t="s">
        <v>973</v>
      </c>
      <c r="D68" s="269" t="s">
        <v>589</v>
      </c>
      <c r="E68" s="267" t="s">
        <v>950</v>
      </c>
      <c r="F68" s="270" t="s">
        <v>968</v>
      </c>
      <c r="G68" s="268" t="s">
        <v>706</v>
      </c>
      <c r="H68" s="270" t="s">
        <v>590</v>
      </c>
      <c r="I68" s="298" t="s">
        <v>807</v>
      </c>
      <c r="J68" s="267" t="s">
        <v>267</v>
      </c>
      <c r="K68" s="267" t="s">
        <v>969</v>
      </c>
      <c r="L68" s="267" t="s">
        <v>269</v>
      </c>
      <c r="M68" s="283" t="s">
        <v>304</v>
      </c>
    </row>
    <row r="69" spans="1:13" ht="15.6">
      <c r="A69" s="318" t="s">
        <v>76</v>
      </c>
      <c r="B69" s="318" t="s">
        <v>974</v>
      </c>
      <c r="C69" s="319" t="s">
        <v>975</v>
      </c>
      <c r="D69" s="320" t="s">
        <v>592</v>
      </c>
      <c r="E69" s="318" t="s">
        <v>950</v>
      </c>
      <c r="F69" s="321" t="s">
        <v>968</v>
      </c>
      <c r="G69" s="319" t="s">
        <v>706</v>
      </c>
      <c r="H69" s="321" t="s">
        <v>593</v>
      </c>
      <c r="I69" s="322" t="s">
        <v>814</v>
      </c>
      <c r="J69" s="318" t="s">
        <v>267</v>
      </c>
      <c r="K69" s="318" t="s">
        <v>969</v>
      </c>
      <c r="L69" s="318" t="s">
        <v>269</v>
      </c>
      <c r="M69" s="323" t="s">
        <v>304</v>
      </c>
    </row>
    <row r="70" spans="1:13" s="147" customFormat="1" ht="15.6">
      <c r="A70" s="267" t="s">
        <v>76</v>
      </c>
      <c r="B70" s="267" t="s">
        <v>976</v>
      </c>
      <c r="C70" s="268" t="s">
        <v>977</v>
      </c>
      <c r="D70" s="269" t="s">
        <v>599</v>
      </c>
      <c r="E70" s="267" t="s">
        <v>950</v>
      </c>
      <c r="F70" s="270" t="s">
        <v>978</v>
      </c>
      <c r="G70" s="268" t="s">
        <v>706</v>
      </c>
      <c r="H70" s="270" t="s">
        <v>600</v>
      </c>
      <c r="I70" s="298" t="s">
        <v>807</v>
      </c>
      <c r="J70" s="267" t="s">
        <v>267</v>
      </c>
      <c r="K70" s="267" t="s">
        <v>978</v>
      </c>
      <c r="L70" s="267" t="s">
        <v>269</v>
      </c>
      <c r="M70" s="283" t="s">
        <v>304</v>
      </c>
    </row>
    <row r="71" spans="1:13" ht="15.6">
      <c r="A71" s="267" t="s">
        <v>76</v>
      </c>
      <c r="B71" s="267" t="s">
        <v>979</v>
      </c>
      <c r="C71" s="268" t="s">
        <v>980</v>
      </c>
      <c r="D71" s="269" t="s">
        <v>981</v>
      </c>
      <c r="E71" s="267" t="s">
        <v>950</v>
      </c>
      <c r="F71" s="270" t="s">
        <v>961</v>
      </c>
      <c r="G71" s="268" t="s">
        <v>706</v>
      </c>
      <c r="H71" s="270" t="s">
        <v>623</v>
      </c>
      <c r="I71" s="298" t="s">
        <v>807</v>
      </c>
      <c r="J71" s="267" t="s">
        <v>267</v>
      </c>
      <c r="K71" s="267" t="s">
        <v>962</v>
      </c>
      <c r="L71" s="267" t="s">
        <v>982</v>
      </c>
      <c r="M71" s="283" t="s">
        <v>304</v>
      </c>
    </row>
    <row r="72" spans="1:13" ht="15.6">
      <c r="A72" s="267" t="s">
        <v>76</v>
      </c>
      <c r="B72" s="267" t="s">
        <v>983</v>
      </c>
      <c r="C72" s="268" t="s">
        <v>984</v>
      </c>
      <c r="D72" s="269" t="s">
        <v>985</v>
      </c>
      <c r="E72" s="267" t="s">
        <v>950</v>
      </c>
      <c r="F72" s="270" t="s">
        <v>235</v>
      </c>
      <c r="G72" s="268" t="s">
        <v>706</v>
      </c>
      <c r="H72" s="270" t="s">
        <v>621</v>
      </c>
      <c r="I72" s="298" t="s">
        <v>807</v>
      </c>
      <c r="J72" s="267" t="s">
        <v>267</v>
      </c>
      <c r="K72" s="267" t="s">
        <v>962</v>
      </c>
      <c r="L72" s="267" t="s">
        <v>982</v>
      </c>
      <c r="M72" s="283" t="s">
        <v>304</v>
      </c>
    </row>
    <row r="73" spans="1:13" ht="15.6">
      <c r="A73" s="267" t="s">
        <v>76</v>
      </c>
      <c r="B73" s="267" t="s">
        <v>986</v>
      </c>
      <c r="C73" s="268" t="s">
        <v>987</v>
      </c>
      <c r="D73" s="269" t="s">
        <v>988</v>
      </c>
      <c r="E73" s="267" t="s">
        <v>950</v>
      </c>
      <c r="F73" s="270" t="s">
        <v>968</v>
      </c>
      <c r="G73" s="268" t="s">
        <v>706</v>
      </c>
      <c r="H73" s="270" t="s">
        <v>617</v>
      </c>
      <c r="I73" s="298" t="s">
        <v>807</v>
      </c>
      <c r="J73" s="267" t="s">
        <v>267</v>
      </c>
      <c r="K73" s="267" t="s">
        <v>969</v>
      </c>
      <c r="L73" s="267" t="s">
        <v>982</v>
      </c>
      <c r="M73" s="283" t="s">
        <v>304</v>
      </c>
    </row>
    <row r="74" spans="1:13" ht="15.6">
      <c r="A74" s="267" t="s">
        <v>76</v>
      </c>
      <c r="B74" s="267" t="s">
        <v>989</v>
      </c>
      <c r="C74" s="268" t="s">
        <v>990</v>
      </c>
      <c r="D74" s="269" t="s">
        <v>991</v>
      </c>
      <c r="E74" s="267" t="s">
        <v>950</v>
      </c>
      <c r="F74" s="270" t="s">
        <v>235</v>
      </c>
      <c r="G74" s="268" t="s">
        <v>706</v>
      </c>
      <c r="H74" s="270" t="s">
        <v>992</v>
      </c>
      <c r="I74" s="298">
        <v>2050</v>
      </c>
      <c r="J74" s="267" t="s">
        <v>267</v>
      </c>
      <c r="K74" s="267" t="s">
        <v>962</v>
      </c>
      <c r="L74" s="267" t="s">
        <v>982</v>
      </c>
      <c r="M74" s="283" t="s">
        <v>304</v>
      </c>
    </row>
    <row r="75" spans="1:13" ht="15.6">
      <c r="A75" s="267" t="s">
        <v>76</v>
      </c>
      <c r="B75" s="267" t="s">
        <v>993</v>
      </c>
      <c r="C75" s="268" t="s">
        <v>994</v>
      </c>
      <c r="D75" s="269" t="s">
        <v>995</v>
      </c>
      <c r="E75" s="267" t="s">
        <v>950</v>
      </c>
      <c r="F75" s="270" t="s">
        <v>978</v>
      </c>
      <c r="G75" s="268" t="s">
        <v>706</v>
      </c>
      <c r="H75" s="270" t="s">
        <v>619</v>
      </c>
      <c r="I75" s="298" t="s">
        <v>807</v>
      </c>
      <c r="J75" s="267" t="s">
        <v>267</v>
      </c>
      <c r="K75" s="267" t="s">
        <v>978</v>
      </c>
      <c r="L75" s="267" t="s">
        <v>982</v>
      </c>
      <c r="M75" s="283" t="s">
        <v>304</v>
      </c>
    </row>
    <row r="76" spans="1:13" ht="15.6">
      <c r="A76" s="318" t="s">
        <v>76</v>
      </c>
      <c r="B76" s="318" t="s">
        <v>996</v>
      </c>
      <c r="C76" s="319" t="s">
        <v>997</v>
      </c>
      <c r="D76" s="324" t="s">
        <v>998</v>
      </c>
      <c r="E76" s="318" t="s">
        <v>999</v>
      </c>
      <c r="F76" s="321" t="s">
        <v>1000</v>
      </c>
      <c r="G76" s="319" t="s">
        <v>706</v>
      </c>
      <c r="H76" s="321" t="s">
        <v>627</v>
      </c>
      <c r="I76" s="322">
        <v>2020</v>
      </c>
      <c r="J76" s="318" t="s">
        <v>267</v>
      </c>
      <c r="K76" s="318" t="s">
        <v>274</v>
      </c>
      <c r="L76" s="318" t="s">
        <v>1001</v>
      </c>
      <c r="M76" s="323" t="s">
        <v>628</v>
      </c>
    </row>
    <row r="77" spans="1:13" ht="15.6">
      <c r="A77" s="267" t="s">
        <v>76</v>
      </c>
      <c r="B77" s="267" t="s">
        <v>953</v>
      </c>
      <c r="C77" s="268" t="s">
        <v>1002</v>
      </c>
      <c r="D77" s="269" t="s">
        <v>614</v>
      </c>
      <c r="E77" s="267" t="s">
        <v>950</v>
      </c>
      <c r="F77" s="270" t="s">
        <v>955</v>
      </c>
      <c r="G77" s="268" t="s">
        <v>706</v>
      </c>
      <c r="H77" s="270" t="s">
        <v>615</v>
      </c>
      <c r="I77" s="298" t="s">
        <v>807</v>
      </c>
      <c r="J77" s="267" t="s">
        <v>267</v>
      </c>
      <c r="K77" s="267" t="s">
        <v>957</v>
      </c>
      <c r="L77" s="267" t="s">
        <v>1001</v>
      </c>
      <c r="M77" s="283" t="s">
        <v>304</v>
      </c>
    </row>
    <row r="78" spans="1:13" ht="15.6">
      <c r="A78" s="318" t="s">
        <v>76</v>
      </c>
      <c r="B78" s="318" t="s">
        <v>1003</v>
      </c>
      <c r="C78" s="319" t="s">
        <v>1004</v>
      </c>
      <c r="D78" s="324" t="s">
        <v>1005</v>
      </c>
      <c r="E78" s="318" t="s">
        <v>999</v>
      </c>
      <c r="F78" s="321" t="s">
        <v>1000</v>
      </c>
      <c r="G78" s="319" t="s">
        <v>706</v>
      </c>
      <c r="H78" s="321" t="s">
        <v>630</v>
      </c>
      <c r="I78" s="322">
        <v>2020</v>
      </c>
      <c r="J78" s="318" t="s">
        <v>267</v>
      </c>
      <c r="K78" s="318" t="s">
        <v>274</v>
      </c>
      <c r="L78" s="318" t="s">
        <v>1001</v>
      </c>
      <c r="M78" s="323" t="s">
        <v>628</v>
      </c>
    </row>
    <row r="79" spans="1:13" ht="15.6">
      <c r="A79" s="318" t="s">
        <v>76</v>
      </c>
      <c r="B79" s="318" t="s">
        <v>1006</v>
      </c>
      <c r="C79" s="319" t="s">
        <v>1007</v>
      </c>
      <c r="D79" s="320" t="s">
        <v>637</v>
      </c>
      <c r="E79" s="318" t="s">
        <v>946</v>
      </c>
      <c r="F79" s="318" t="s">
        <v>745</v>
      </c>
      <c r="G79" s="319" t="s">
        <v>706</v>
      </c>
      <c r="H79" s="321" t="s">
        <v>638</v>
      </c>
      <c r="I79" s="322" t="s">
        <v>264</v>
      </c>
      <c r="J79" s="318" t="s">
        <v>267</v>
      </c>
      <c r="K79" s="318" t="s">
        <v>747</v>
      </c>
      <c r="L79" s="318" t="s">
        <v>1008</v>
      </c>
      <c r="M79" s="323" t="s">
        <v>304</v>
      </c>
    </row>
    <row r="80" spans="1:13" ht="15.6">
      <c r="A80" s="318" t="s">
        <v>76</v>
      </c>
      <c r="B80" s="318" t="s">
        <v>1009</v>
      </c>
      <c r="C80" s="319" t="s">
        <v>1010</v>
      </c>
      <c r="D80" s="320" t="s">
        <v>635</v>
      </c>
      <c r="E80" s="318" t="s">
        <v>946</v>
      </c>
      <c r="F80" s="318" t="s">
        <v>745</v>
      </c>
      <c r="G80" s="319" t="s">
        <v>706</v>
      </c>
      <c r="H80" s="325" t="s">
        <v>636</v>
      </c>
      <c r="I80" s="322" t="s">
        <v>264</v>
      </c>
      <c r="J80" s="318" t="s">
        <v>267</v>
      </c>
      <c r="K80" s="318" t="s">
        <v>747</v>
      </c>
      <c r="L80" s="318" t="s">
        <v>1008</v>
      </c>
      <c r="M80" s="323" t="s">
        <v>304</v>
      </c>
    </row>
    <row r="81" spans="1:13" s="147" customFormat="1" ht="15.6">
      <c r="A81" s="318" t="s">
        <v>76</v>
      </c>
      <c r="B81" s="318" t="s">
        <v>1011</v>
      </c>
      <c r="C81" s="319" t="s">
        <v>1012</v>
      </c>
      <c r="D81" s="320" t="s">
        <v>639</v>
      </c>
      <c r="E81" s="318" t="s">
        <v>946</v>
      </c>
      <c r="F81" s="318" t="s">
        <v>745</v>
      </c>
      <c r="G81" s="326" t="s">
        <v>706</v>
      </c>
      <c r="H81" s="327" t="s">
        <v>640</v>
      </c>
      <c r="I81" s="322" t="s">
        <v>264</v>
      </c>
      <c r="J81" s="318" t="s">
        <v>267</v>
      </c>
      <c r="K81" s="318" t="s">
        <v>747</v>
      </c>
      <c r="L81" s="318" t="s">
        <v>1008</v>
      </c>
      <c r="M81" s="323" t="s">
        <v>304</v>
      </c>
    </row>
    <row r="82" spans="1:13" s="147" customFormat="1" ht="15.6">
      <c r="A82" s="267" t="s">
        <v>76</v>
      </c>
      <c r="B82" s="267" t="s">
        <v>1013</v>
      </c>
      <c r="C82" s="268" t="s">
        <v>1014</v>
      </c>
      <c r="D82" s="269" t="s">
        <v>698</v>
      </c>
      <c r="E82" s="280" t="s">
        <v>550</v>
      </c>
      <c r="F82" s="270" t="s">
        <v>700</v>
      </c>
      <c r="G82" s="312" t="s">
        <v>706</v>
      </c>
      <c r="H82" s="313" t="s">
        <v>1015</v>
      </c>
      <c r="I82" s="298" t="s">
        <v>807</v>
      </c>
      <c r="J82" s="267" t="s">
        <v>258</v>
      </c>
      <c r="K82" s="267" t="s">
        <v>301</v>
      </c>
      <c r="L82" s="267" t="s">
        <v>764</v>
      </c>
      <c r="M82" s="283" t="s">
        <v>304</v>
      </c>
    </row>
    <row r="83" spans="1:13" ht="15.6">
      <c r="A83" s="282" t="s">
        <v>191</v>
      </c>
      <c r="B83" s="328" t="s">
        <v>1016</v>
      </c>
      <c r="C83" s="277" t="s">
        <v>1017</v>
      </c>
      <c r="D83" s="253"/>
      <c r="E83" s="316" t="s">
        <v>1018</v>
      </c>
      <c r="F83" s="317" t="s">
        <v>1019</v>
      </c>
      <c r="G83" s="301" t="s">
        <v>706</v>
      </c>
      <c r="H83" s="307" t="s">
        <v>1020</v>
      </c>
      <c r="I83" s="304" t="s">
        <v>930</v>
      </c>
      <c r="J83" s="18" t="s">
        <v>258</v>
      </c>
      <c r="K83" s="279" t="s">
        <v>706</v>
      </c>
      <c r="L83" s="280" t="s">
        <v>706</v>
      </c>
      <c r="M83" s="285" t="s">
        <v>1018</v>
      </c>
    </row>
    <row r="84" spans="1:13" s="147" customFormat="1" ht="15.6">
      <c r="A84" s="282" t="s">
        <v>191</v>
      </c>
      <c r="B84" s="329" t="s">
        <v>1021</v>
      </c>
      <c r="C84" s="277" t="s">
        <v>1022</v>
      </c>
      <c r="D84" s="253"/>
      <c r="E84" s="315" t="s">
        <v>1018</v>
      </c>
      <c r="F84" s="281" t="s">
        <v>1019</v>
      </c>
      <c r="G84" s="302" t="s">
        <v>706</v>
      </c>
      <c r="H84" s="309" t="s">
        <v>1023</v>
      </c>
      <c r="I84" s="305" t="s">
        <v>807</v>
      </c>
      <c r="J84" s="18" t="s">
        <v>258</v>
      </c>
      <c r="K84" s="271" t="s">
        <v>706</v>
      </c>
      <c r="L84" s="281" t="s">
        <v>706</v>
      </c>
      <c r="M84" s="285" t="s">
        <v>1018</v>
      </c>
    </row>
    <row r="85" spans="1:13" s="147" customFormat="1" ht="15.6">
      <c r="A85" s="282" t="s">
        <v>191</v>
      </c>
      <c r="B85" s="329" t="s">
        <v>1024</v>
      </c>
      <c r="C85" s="277" t="s">
        <v>1025</v>
      </c>
      <c r="D85" s="253"/>
      <c r="E85" s="278" t="s">
        <v>1018</v>
      </c>
      <c r="F85" s="267" t="s">
        <v>1026</v>
      </c>
      <c r="G85" s="303" t="s">
        <v>706</v>
      </c>
      <c r="H85" s="307" t="s">
        <v>1027</v>
      </c>
      <c r="I85" s="298" t="s">
        <v>264</v>
      </c>
      <c r="J85" s="18" t="s">
        <v>258</v>
      </c>
      <c r="K85" s="18" t="s">
        <v>241</v>
      </c>
      <c r="L85" s="266" t="s">
        <v>706</v>
      </c>
      <c r="M85" s="285" t="s">
        <v>1018</v>
      </c>
    </row>
    <row r="86" spans="1:13" s="147" customFormat="1" ht="15.6">
      <c r="A86" s="282" t="s">
        <v>191</v>
      </c>
      <c r="B86" s="329" t="s">
        <v>1028</v>
      </c>
      <c r="C86" s="277" t="s">
        <v>1029</v>
      </c>
      <c r="D86" s="253"/>
      <c r="E86" s="316" t="s">
        <v>1018</v>
      </c>
      <c r="F86" s="267" t="s">
        <v>1026</v>
      </c>
      <c r="G86" s="303" t="s">
        <v>706</v>
      </c>
      <c r="H86" s="308" t="s">
        <v>1030</v>
      </c>
      <c r="I86" s="298" t="s">
        <v>264</v>
      </c>
      <c r="J86" s="18" t="s">
        <v>258</v>
      </c>
      <c r="K86" s="18" t="s">
        <v>241</v>
      </c>
      <c r="L86" s="266" t="s">
        <v>706</v>
      </c>
      <c r="M86" s="285" t="s">
        <v>1018</v>
      </c>
    </row>
    <row r="87" spans="1:13" s="147" customFormat="1" ht="15.6">
      <c r="A87" s="282" t="s">
        <v>191</v>
      </c>
      <c r="B87" s="329" t="s">
        <v>1031</v>
      </c>
      <c r="C87" s="277" t="s">
        <v>1032</v>
      </c>
      <c r="D87" s="253"/>
      <c r="E87" s="311" t="s">
        <v>1018</v>
      </c>
      <c r="F87" s="267" t="s">
        <v>706</v>
      </c>
      <c r="G87" s="303" t="s">
        <v>706</v>
      </c>
      <c r="H87" s="308" t="s">
        <v>1033</v>
      </c>
      <c r="I87" s="298" t="s">
        <v>264</v>
      </c>
      <c r="J87" s="18" t="s">
        <v>267</v>
      </c>
      <c r="K87" s="271" t="s">
        <v>706</v>
      </c>
      <c r="L87" s="267" t="s">
        <v>706</v>
      </c>
      <c r="M87" s="285" t="s">
        <v>1018</v>
      </c>
    </row>
    <row r="88" spans="1:13" ht="15.6">
      <c r="A88" s="282" t="s">
        <v>191</v>
      </c>
      <c r="B88" s="329" t="s">
        <v>1034</v>
      </c>
      <c r="C88" s="277" t="s">
        <v>1035</v>
      </c>
      <c r="D88" s="253"/>
      <c r="E88" s="316" t="s">
        <v>1018</v>
      </c>
      <c r="F88" s="267" t="s">
        <v>706</v>
      </c>
      <c r="G88" s="303" t="s">
        <v>706</v>
      </c>
      <c r="H88" s="309" t="s">
        <v>1036</v>
      </c>
      <c r="I88" s="298" t="s">
        <v>264</v>
      </c>
      <c r="J88" s="18" t="s">
        <v>267</v>
      </c>
      <c r="K88" s="266" t="s">
        <v>706</v>
      </c>
      <c r="L88" s="267" t="s">
        <v>706</v>
      </c>
      <c r="M88" s="285" t="s">
        <v>1018</v>
      </c>
    </row>
    <row r="89" spans="1:13" s="147" customFormat="1" ht="15.6">
      <c r="A89" s="282" t="s">
        <v>191</v>
      </c>
      <c r="B89" s="329" t="s">
        <v>1037</v>
      </c>
      <c r="C89" s="25" t="s">
        <v>1038</v>
      </c>
      <c r="D89" s="253"/>
      <c r="E89" s="315" t="s">
        <v>1018</v>
      </c>
      <c r="F89" s="267" t="s">
        <v>706</v>
      </c>
      <c r="G89" s="303" t="s">
        <v>706</v>
      </c>
      <c r="H89" s="307"/>
      <c r="I89" s="298" t="s">
        <v>264</v>
      </c>
      <c r="J89" s="18" t="s">
        <v>267</v>
      </c>
      <c r="K89" s="266" t="s">
        <v>706</v>
      </c>
      <c r="L89" s="267" t="s">
        <v>706</v>
      </c>
      <c r="M89" s="285" t="s">
        <v>1018</v>
      </c>
    </row>
    <row r="90" spans="1:13" ht="15.6">
      <c r="A90" s="282" t="s">
        <v>191</v>
      </c>
      <c r="B90" s="329" t="s">
        <v>1039</v>
      </c>
      <c r="C90" s="277" t="s">
        <v>1040</v>
      </c>
      <c r="D90" s="253"/>
      <c r="E90" s="311" t="s">
        <v>1018</v>
      </c>
      <c r="F90" s="267" t="s">
        <v>1041</v>
      </c>
      <c r="G90" s="303" t="s">
        <v>706</v>
      </c>
      <c r="H90" s="309"/>
      <c r="I90" s="298">
        <v>2030</v>
      </c>
      <c r="J90" s="18" t="s">
        <v>260</v>
      </c>
      <c r="K90" s="266" t="s">
        <v>706</v>
      </c>
      <c r="L90" s="267" t="s">
        <v>706</v>
      </c>
      <c r="M90" s="285" t="s">
        <v>1018</v>
      </c>
    </row>
    <row r="91" spans="1:13" ht="15.6">
      <c r="A91" s="282" t="s">
        <v>191</v>
      </c>
      <c r="B91" s="329" t="s">
        <v>1042</v>
      </c>
      <c r="C91" s="277" t="s">
        <v>1043</v>
      </c>
      <c r="D91" s="253"/>
      <c r="E91" s="316" t="s">
        <v>1018</v>
      </c>
      <c r="F91" s="267" t="s">
        <v>1041</v>
      </c>
      <c r="G91" s="303" t="s">
        <v>706</v>
      </c>
      <c r="H91" s="307"/>
      <c r="I91" s="298" t="s">
        <v>264</v>
      </c>
      <c r="J91" s="18" t="s">
        <v>262</v>
      </c>
      <c r="K91" s="266" t="s">
        <v>706</v>
      </c>
      <c r="L91" s="267" t="s">
        <v>706</v>
      </c>
      <c r="M91" s="285" t="s">
        <v>1018</v>
      </c>
    </row>
    <row r="92" spans="1:13" ht="15.6">
      <c r="A92" s="282" t="s">
        <v>191</v>
      </c>
      <c r="B92" s="329" t="s">
        <v>1044</v>
      </c>
      <c r="C92" s="277" t="s">
        <v>1045</v>
      </c>
      <c r="D92" s="253"/>
      <c r="E92" s="311" t="s">
        <v>1018</v>
      </c>
      <c r="F92" s="267" t="s">
        <v>706</v>
      </c>
      <c r="G92" s="303" t="s">
        <v>706</v>
      </c>
      <c r="H92" s="309"/>
      <c r="I92" s="298" t="s">
        <v>264</v>
      </c>
      <c r="J92" s="18" t="s">
        <v>262</v>
      </c>
      <c r="K92" s="266" t="s">
        <v>706</v>
      </c>
      <c r="L92" s="267" t="s">
        <v>706</v>
      </c>
      <c r="M92" s="285" t="s">
        <v>1018</v>
      </c>
    </row>
    <row r="93" spans="1:13" ht="15.6">
      <c r="A93" s="282" t="s">
        <v>191</v>
      </c>
      <c r="B93" s="329" t="s">
        <v>1046</v>
      </c>
      <c r="C93" s="277" t="s">
        <v>1047</v>
      </c>
      <c r="D93" s="253"/>
      <c r="E93" s="313" t="s">
        <v>1018</v>
      </c>
      <c r="F93" s="267" t="s">
        <v>706</v>
      </c>
      <c r="G93" s="303" t="s">
        <v>706</v>
      </c>
      <c r="H93" s="307"/>
      <c r="I93" s="298">
        <v>2030</v>
      </c>
      <c r="J93" s="18" t="s">
        <v>262</v>
      </c>
      <c r="K93" s="266" t="s">
        <v>706</v>
      </c>
      <c r="L93" s="267" t="s">
        <v>706</v>
      </c>
      <c r="M93" s="285" t="s">
        <v>1018</v>
      </c>
    </row>
    <row r="94" spans="1:13" ht="15.6">
      <c r="A94" s="282" t="s">
        <v>191</v>
      </c>
      <c r="B94" s="329" t="s">
        <v>1048</v>
      </c>
      <c r="C94" s="277" t="s">
        <v>1049</v>
      </c>
      <c r="D94" s="253"/>
      <c r="E94" s="313" t="s">
        <v>1018</v>
      </c>
      <c r="F94" s="267" t="s">
        <v>1041</v>
      </c>
      <c r="G94" s="303" t="s">
        <v>706</v>
      </c>
      <c r="H94" s="308"/>
      <c r="I94" s="298" t="s">
        <v>264</v>
      </c>
      <c r="J94" s="18" t="s">
        <v>1050</v>
      </c>
      <c r="K94" s="266" t="s">
        <v>706</v>
      </c>
      <c r="L94" s="267" t="s">
        <v>706</v>
      </c>
      <c r="M94" s="285" t="s">
        <v>1018</v>
      </c>
    </row>
    <row r="95" spans="1:13" ht="15.6">
      <c r="A95" s="282" t="s">
        <v>191</v>
      </c>
      <c r="B95" s="329" t="s">
        <v>1051</v>
      </c>
      <c r="C95" s="277" t="s">
        <v>1052</v>
      </c>
      <c r="D95" s="253"/>
      <c r="E95" s="316" t="s">
        <v>1018</v>
      </c>
      <c r="F95" s="267" t="s">
        <v>1041</v>
      </c>
      <c r="G95" s="303" t="s">
        <v>706</v>
      </c>
      <c r="H95" s="309"/>
      <c r="I95" s="298" t="s">
        <v>264</v>
      </c>
      <c r="J95" s="18" t="s">
        <v>257</v>
      </c>
      <c r="K95" s="266" t="s">
        <v>706</v>
      </c>
      <c r="L95" s="267" t="s">
        <v>706</v>
      </c>
      <c r="M95" s="285" t="s">
        <v>1018</v>
      </c>
    </row>
    <row r="96" spans="1:13" ht="15.6">
      <c r="A96" s="282" t="s">
        <v>191</v>
      </c>
      <c r="B96" s="329" t="s">
        <v>1053</v>
      </c>
      <c r="C96" s="277" t="s">
        <v>1054</v>
      </c>
      <c r="D96" s="253"/>
      <c r="E96" s="311" t="s">
        <v>1018</v>
      </c>
      <c r="F96" s="267" t="s">
        <v>1041</v>
      </c>
      <c r="G96" s="303" t="s">
        <v>706</v>
      </c>
      <c r="H96" s="310"/>
      <c r="I96" s="298" t="s">
        <v>264</v>
      </c>
      <c r="J96" s="18" t="s">
        <v>276</v>
      </c>
      <c r="K96" s="266" t="s">
        <v>706</v>
      </c>
      <c r="L96" s="267" t="s">
        <v>706</v>
      </c>
      <c r="M96" s="285" t="s">
        <v>1018</v>
      </c>
    </row>
    <row r="97" spans="1:13" ht="15.6">
      <c r="A97" s="282" t="s">
        <v>191</v>
      </c>
      <c r="B97" s="329" t="s">
        <v>1055</v>
      </c>
      <c r="C97" s="277" t="s">
        <v>1056</v>
      </c>
      <c r="D97" s="253"/>
      <c r="E97" s="313" t="s">
        <v>1018</v>
      </c>
      <c r="F97" s="267" t="s">
        <v>1041</v>
      </c>
      <c r="G97" s="303" t="s">
        <v>706</v>
      </c>
      <c r="H97" s="307"/>
      <c r="I97" s="298" t="s">
        <v>264</v>
      </c>
      <c r="J97" s="18" t="s">
        <v>276</v>
      </c>
      <c r="K97" s="266" t="s">
        <v>706</v>
      </c>
      <c r="L97" s="267" t="s">
        <v>706</v>
      </c>
      <c r="M97" s="285" t="s">
        <v>1018</v>
      </c>
    </row>
    <row r="98" spans="1:13" s="147" customFormat="1" ht="15.6">
      <c r="A98" s="282" t="s">
        <v>191</v>
      </c>
      <c r="B98" s="330" t="s">
        <v>1057</v>
      </c>
      <c r="C98" s="277" t="s">
        <v>1058</v>
      </c>
      <c r="D98" s="253"/>
      <c r="E98" s="316" t="s">
        <v>1018</v>
      </c>
      <c r="F98" s="282" t="s">
        <v>1041</v>
      </c>
      <c r="G98" s="285" t="s">
        <v>706</v>
      </c>
      <c r="H98" s="308" t="s">
        <v>1059</v>
      </c>
      <c r="I98" s="306" t="s">
        <v>264</v>
      </c>
      <c r="J98" s="18" t="s">
        <v>254</v>
      </c>
      <c r="K98" s="276" t="s">
        <v>706</v>
      </c>
      <c r="L98" s="276" t="s">
        <v>706</v>
      </c>
      <c r="M98" s="285" t="s">
        <v>1018</v>
      </c>
    </row>
    <row r="99" spans="1:13">
      <c r="E99" s="314"/>
    </row>
  </sheetData>
  <hyperlinks>
    <hyperlink ref="G34" r:id="rId1" xr:uid="{99E7935F-2E5A-47AC-AC34-B8DBAF315B78}"/>
  </hyperlinks>
  <pageMargins left="0.7" right="0.7" top="0.75" bottom="0.75" header="0.3" footer="0.3"/>
  <pageSetup paperSize="9" orientation="portrait"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1D290-467E-438F-8F96-DB55B08AF34D}">
  <sheetPr>
    <tabColor theme="0" tint="-0.14999847407452621"/>
  </sheetPr>
  <dimension ref="A1:M79"/>
  <sheetViews>
    <sheetView topLeftCell="A11" workbookViewId="0">
      <selection activeCell="X23" sqref="X23"/>
    </sheetView>
  </sheetViews>
  <sheetFormatPr defaultRowHeight="13.2"/>
  <cols>
    <col min="1" max="1" width="66.109375" customWidth="1"/>
    <col min="2" max="2" width="101.88671875" customWidth="1"/>
    <col min="3" max="3" width="95.44140625" customWidth="1"/>
    <col min="4" max="4" width="18.5546875" customWidth="1"/>
    <col min="5" max="5" width="12.44140625" customWidth="1"/>
    <col min="6" max="6" width="19.5546875" customWidth="1"/>
    <col min="7" max="7" width="20.44140625" customWidth="1"/>
    <col min="8" max="8" width="20.5546875" customWidth="1"/>
    <col min="9" max="9" width="20.88671875" customWidth="1"/>
    <col min="10" max="10" width="27.44140625" customWidth="1"/>
    <col min="11" max="11" width="25.5546875" customWidth="1"/>
    <col min="12" max="12" width="27.44140625" customWidth="1"/>
    <col min="13" max="13" width="23.44140625" customWidth="1"/>
  </cols>
  <sheetData>
    <row r="1" spans="1:13" ht="21">
      <c r="A1" s="258" t="s">
        <v>1060</v>
      </c>
      <c r="B1" s="260" t="s">
        <v>706</v>
      </c>
      <c r="C1" s="258" t="s">
        <v>706</v>
      </c>
      <c r="D1" s="258" t="s">
        <v>706</v>
      </c>
      <c r="E1" s="258" t="s">
        <v>706</v>
      </c>
      <c r="F1" s="258" t="s">
        <v>706</v>
      </c>
      <c r="G1" s="258" t="s">
        <v>706</v>
      </c>
      <c r="H1" s="258" t="s">
        <v>706</v>
      </c>
      <c r="I1" s="258" t="s">
        <v>706</v>
      </c>
      <c r="J1" s="258" t="s">
        <v>706</v>
      </c>
      <c r="K1" s="258" t="s">
        <v>706</v>
      </c>
      <c r="L1" s="258" t="s">
        <v>706</v>
      </c>
      <c r="M1" s="258" t="s">
        <v>706</v>
      </c>
    </row>
    <row r="2" spans="1:13" ht="15.6">
      <c r="A2" s="294" t="s">
        <v>711</v>
      </c>
      <c r="B2" s="294" t="s">
        <v>1061</v>
      </c>
      <c r="C2" s="294" t="s">
        <v>1062</v>
      </c>
      <c r="D2" s="294" t="s">
        <v>1063</v>
      </c>
      <c r="E2" s="337" t="s">
        <v>1064</v>
      </c>
      <c r="F2" s="71"/>
      <c r="G2" s="71"/>
      <c r="H2" s="71"/>
      <c r="I2" s="71"/>
      <c r="J2" s="69" t="s">
        <v>1065</v>
      </c>
      <c r="K2" s="71"/>
      <c r="L2" s="71"/>
      <c r="M2" s="71"/>
    </row>
    <row r="3" spans="1:13" ht="14.4">
      <c r="A3" s="334" t="s">
        <v>192</v>
      </c>
      <c r="B3" s="331" t="s">
        <v>1066</v>
      </c>
      <c r="C3" s="331" t="s">
        <v>1067</v>
      </c>
      <c r="D3" s="331" t="s">
        <v>1068</v>
      </c>
      <c r="E3" s="331" t="s">
        <v>1069</v>
      </c>
      <c r="F3" s="331" t="s">
        <v>1070</v>
      </c>
      <c r="G3" s="331" t="s">
        <v>1071</v>
      </c>
      <c r="H3" s="331" t="s">
        <v>1072</v>
      </c>
      <c r="I3" s="331" t="s">
        <v>1073</v>
      </c>
      <c r="J3" s="331" t="s">
        <v>1074</v>
      </c>
      <c r="K3" s="331" t="s">
        <v>1075</v>
      </c>
      <c r="L3" s="331" t="s">
        <v>1076</v>
      </c>
      <c r="M3" s="331" t="s">
        <v>1077</v>
      </c>
    </row>
    <row r="4" spans="1:13" ht="14.4">
      <c r="A4" s="335" t="s">
        <v>1078</v>
      </c>
      <c r="B4" s="332" t="s">
        <v>1079</v>
      </c>
      <c r="C4" s="332" t="s">
        <v>1080</v>
      </c>
      <c r="D4" s="332" t="s">
        <v>1081</v>
      </c>
      <c r="E4" s="338" t="s">
        <v>1082</v>
      </c>
      <c r="F4" s="344">
        <v>71.799597000000006</v>
      </c>
      <c r="G4" s="344">
        <v>49.732847999999997</v>
      </c>
      <c r="H4" s="344">
        <v>34.110871000000003</v>
      </c>
      <c r="I4" s="346">
        <v>25.663843</v>
      </c>
      <c r="J4" s="344">
        <v>71.796199000000001</v>
      </c>
      <c r="K4" s="344">
        <v>47.918464</v>
      </c>
      <c r="L4" s="344">
        <v>29.577507000000001</v>
      </c>
      <c r="M4" s="344">
        <v>21.820758999999999</v>
      </c>
    </row>
    <row r="5" spans="1:13" ht="14.4">
      <c r="A5" s="335" t="s">
        <v>1083</v>
      </c>
      <c r="B5" s="332" t="s">
        <v>1084</v>
      </c>
      <c r="C5" s="332" t="s">
        <v>1085</v>
      </c>
      <c r="D5" s="332" t="s">
        <v>1081</v>
      </c>
      <c r="E5" s="338" t="s">
        <v>1086</v>
      </c>
      <c r="F5" s="344">
        <v>150.31333599999999</v>
      </c>
      <c r="G5" s="344">
        <v>134.0643</v>
      </c>
      <c r="H5" s="344">
        <v>104.15642800000001</v>
      </c>
      <c r="I5" s="346">
        <v>81.927221000000003</v>
      </c>
      <c r="J5" s="344">
        <v>150.30541199999999</v>
      </c>
      <c r="K5" s="344">
        <v>133.590687</v>
      </c>
      <c r="L5" s="344">
        <v>99.517999000000003</v>
      </c>
      <c r="M5" s="344">
        <v>72.892403000000002</v>
      </c>
    </row>
    <row r="6" spans="1:13" ht="14.4">
      <c r="A6" s="335" t="s">
        <v>727</v>
      </c>
      <c r="B6" s="332" t="s">
        <v>1087</v>
      </c>
      <c r="C6" s="332" t="s">
        <v>1088</v>
      </c>
      <c r="D6" s="332" t="s">
        <v>1089</v>
      </c>
      <c r="E6" s="338" t="s">
        <v>1086</v>
      </c>
      <c r="F6" s="344">
        <v>1.27E-4</v>
      </c>
      <c r="G6" s="344">
        <v>9.0000000000000006E-5</v>
      </c>
      <c r="H6" s="344">
        <v>4.1999999999999998E-5</v>
      </c>
      <c r="I6" s="346">
        <v>3.1000000000000001E-5</v>
      </c>
      <c r="J6" s="344">
        <v>1.27E-4</v>
      </c>
      <c r="K6" s="344">
        <v>9.2999999999999997E-5</v>
      </c>
      <c r="L6" s="344">
        <v>4.1E-5</v>
      </c>
      <c r="M6" s="344">
        <v>2.6999999999999999E-5</v>
      </c>
    </row>
    <row r="7" spans="1:13" ht="14.4">
      <c r="A7" s="335" t="s">
        <v>733</v>
      </c>
      <c r="B7" s="332" t="s">
        <v>1090</v>
      </c>
      <c r="C7" s="332" t="s">
        <v>1091</v>
      </c>
      <c r="D7" s="332" t="s">
        <v>1081</v>
      </c>
      <c r="E7" s="338" t="s">
        <v>456</v>
      </c>
      <c r="F7" s="344">
        <v>147.72442100000001</v>
      </c>
      <c r="G7" s="344">
        <v>122.830634</v>
      </c>
      <c r="H7" s="344">
        <v>92.419966000000002</v>
      </c>
      <c r="I7" s="346">
        <v>78.201541000000006</v>
      </c>
      <c r="J7" s="344">
        <v>147.71588499999999</v>
      </c>
      <c r="K7" s="344">
        <v>121.58915</v>
      </c>
      <c r="L7" s="344">
        <v>85.641046000000003</v>
      </c>
      <c r="M7" s="344">
        <v>62.633808999999999</v>
      </c>
    </row>
    <row r="8" spans="1:13" ht="14.4">
      <c r="A8" s="335" t="s">
        <v>737</v>
      </c>
      <c r="B8" s="332" t="s">
        <v>1092</v>
      </c>
      <c r="C8" s="332" t="s">
        <v>1093</v>
      </c>
      <c r="D8" s="332" t="s">
        <v>1089</v>
      </c>
      <c r="E8" s="338" t="s">
        <v>1086</v>
      </c>
      <c r="F8" s="344">
        <v>4.4590000000000003E-3</v>
      </c>
      <c r="G8" s="344">
        <v>4.0090000000000004E-3</v>
      </c>
      <c r="H8" s="344">
        <v>3.4199999999999999E-3</v>
      </c>
      <c r="I8" s="346">
        <v>3.16E-3</v>
      </c>
      <c r="J8" s="344">
        <v>4.4590000000000003E-3</v>
      </c>
      <c r="K8" s="344">
        <v>4.0159999999999996E-3</v>
      </c>
      <c r="L8" s="344">
        <v>3.4039999999999999E-3</v>
      </c>
      <c r="M8" s="344">
        <v>3.1210000000000001E-3</v>
      </c>
    </row>
    <row r="9" spans="1:13" ht="14.4">
      <c r="A9" s="335" t="s">
        <v>1094</v>
      </c>
      <c r="B9" s="332" t="s">
        <v>1095</v>
      </c>
      <c r="C9" s="332" t="s">
        <v>1096</v>
      </c>
      <c r="D9" s="332" t="s">
        <v>1089</v>
      </c>
      <c r="E9" s="338" t="s">
        <v>1082</v>
      </c>
      <c r="F9" s="344">
        <v>7.5779999999999997E-3</v>
      </c>
      <c r="G9" s="344">
        <v>6.7629999999999999E-3</v>
      </c>
      <c r="H9" s="344">
        <v>5.6109999999999997E-3</v>
      </c>
      <c r="I9" s="346">
        <v>4.653E-3</v>
      </c>
      <c r="J9" s="344">
        <v>7.5770000000000004E-3</v>
      </c>
      <c r="K9" s="344">
        <v>6.7629999999999999E-3</v>
      </c>
      <c r="L9" s="344">
        <v>5.4679999999999998E-3</v>
      </c>
      <c r="M9" s="344">
        <v>4.0610000000000004E-3</v>
      </c>
    </row>
    <row r="10" spans="1:13" ht="14.4">
      <c r="A10" s="335" t="s">
        <v>752</v>
      </c>
      <c r="B10" s="332" t="s">
        <v>1097</v>
      </c>
      <c r="C10" s="332" t="s">
        <v>1096</v>
      </c>
      <c r="D10" s="332" t="s">
        <v>1089</v>
      </c>
      <c r="E10" s="338" t="s">
        <v>1082</v>
      </c>
      <c r="F10" s="344">
        <v>5.7429999999999998E-3</v>
      </c>
      <c r="G10" s="344">
        <v>5.0029999999999996E-3</v>
      </c>
      <c r="H10" s="344">
        <v>3.8319999999999999E-3</v>
      </c>
      <c r="I10" s="346">
        <v>3.016E-3</v>
      </c>
      <c r="J10" s="344">
        <v>5.7429999999999998E-3</v>
      </c>
      <c r="K10" s="344">
        <v>4.9800000000000001E-3</v>
      </c>
      <c r="L10" s="344">
        <v>3.6549999999999998E-3</v>
      </c>
      <c r="M10" s="344">
        <v>2.6080000000000001E-3</v>
      </c>
    </row>
    <row r="11" spans="1:13" ht="14.4">
      <c r="A11" s="335" t="s">
        <v>754</v>
      </c>
      <c r="B11" s="332" t="s">
        <v>1098</v>
      </c>
      <c r="C11" s="332" t="s">
        <v>1099</v>
      </c>
      <c r="D11" s="332" t="s">
        <v>1089</v>
      </c>
      <c r="E11" s="338" t="s">
        <v>1086</v>
      </c>
      <c r="F11" s="344">
        <v>1.5169999999999999E-3</v>
      </c>
      <c r="G11" s="344">
        <v>1.096E-3</v>
      </c>
      <c r="H11" s="344">
        <v>5.44E-4</v>
      </c>
      <c r="I11" s="346">
        <v>3.48E-4</v>
      </c>
      <c r="J11" s="344">
        <v>1.5169999999999999E-3</v>
      </c>
      <c r="K11" s="344">
        <v>1.1130000000000001E-3</v>
      </c>
      <c r="L11" s="344">
        <v>4.8999999999999998E-4</v>
      </c>
      <c r="M11" s="344">
        <v>2.7700000000000001E-4</v>
      </c>
    </row>
    <row r="12" spans="1:13" ht="14.4">
      <c r="A12" s="335" t="s">
        <v>779</v>
      </c>
      <c r="B12" s="332" t="s">
        <v>1100</v>
      </c>
      <c r="C12" s="332" t="s">
        <v>1100</v>
      </c>
      <c r="D12" s="332" t="s">
        <v>1089</v>
      </c>
      <c r="E12" s="338" t="s">
        <v>1086</v>
      </c>
      <c r="F12" s="344">
        <v>6.293E-3</v>
      </c>
      <c r="G12" s="344">
        <v>5.2310000000000004E-3</v>
      </c>
      <c r="H12" s="344">
        <v>3.5170000000000002E-3</v>
      </c>
      <c r="I12" s="346">
        <v>2.5690000000000001E-3</v>
      </c>
      <c r="J12" s="344">
        <v>6.293E-3</v>
      </c>
      <c r="K12" s="344">
        <v>5.2509999999999996E-3</v>
      </c>
      <c r="L12" s="344">
        <v>3.14E-3</v>
      </c>
      <c r="M12" s="344">
        <v>2.0939999999999999E-3</v>
      </c>
    </row>
    <row r="13" spans="1:13" ht="14.4">
      <c r="A13" s="336" t="s">
        <v>1101</v>
      </c>
      <c r="B13" s="333" t="s">
        <v>1102</v>
      </c>
      <c r="C13" s="333" t="s">
        <v>1103</v>
      </c>
      <c r="D13" s="333" t="s">
        <v>1089</v>
      </c>
      <c r="E13" s="339" t="s">
        <v>1082</v>
      </c>
      <c r="F13" s="345">
        <v>4.0274999999999998E-2</v>
      </c>
      <c r="G13" s="345">
        <v>3.1371000000000003E-2</v>
      </c>
      <c r="H13" s="345">
        <v>2.2304999999999998E-2</v>
      </c>
      <c r="I13" s="347">
        <v>1.8086000000000001E-2</v>
      </c>
      <c r="J13" s="345">
        <v>4.0271000000000001E-2</v>
      </c>
      <c r="K13" s="345">
        <v>3.0886E-2</v>
      </c>
      <c r="L13" s="345">
        <v>2.0787E-2</v>
      </c>
      <c r="M13" s="345">
        <v>1.6119999999999999E-2</v>
      </c>
    </row>
    <row r="14" spans="1:13" ht="14.4">
      <c r="A14" s="336" t="s">
        <v>1104</v>
      </c>
      <c r="B14" s="333" t="s">
        <v>1105</v>
      </c>
      <c r="C14" s="333" t="s">
        <v>1080</v>
      </c>
      <c r="D14" s="333" t="s">
        <v>1081</v>
      </c>
      <c r="E14" s="339" t="s">
        <v>1082</v>
      </c>
      <c r="F14" s="345">
        <v>285.98691300000002</v>
      </c>
      <c r="G14" s="345">
        <v>211.77496500000001</v>
      </c>
      <c r="H14" s="345">
        <v>146.96989300000001</v>
      </c>
      <c r="I14" s="347">
        <v>112.836592</v>
      </c>
      <c r="J14" s="345">
        <v>285.97094199999998</v>
      </c>
      <c r="K14" s="345">
        <v>206.904864</v>
      </c>
      <c r="L14" s="345">
        <v>130.783906</v>
      </c>
      <c r="M14" s="345">
        <v>95.188329999999993</v>
      </c>
    </row>
    <row r="15" spans="1:13" ht="14.4">
      <c r="A15" s="336" t="s">
        <v>1106</v>
      </c>
      <c r="B15" s="333" t="s">
        <v>1100</v>
      </c>
      <c r="C15" s="333" t="s">
        <v>1100</v>
      </c>
      <c r="D15" s="333" t="s">
        <v>1089</v>
      </c>
      <c r="E15" s="339" t="s">
        <v>1086</v>
      </c>
      <c r="F15" s="345">
        <v>6.293E-3</v>
      </c>
      <c r="G15" s="345">
        <v>5.2310000000000004E-3</v>
      </c>
      <c r="H15" s="345">
        <v>3.5170000000000002E-3</v>
      </c>
      <c r="I15" s="347">
        <v>2.5690000000000001E-3</v>
      </c>
      <c r="J15" s="345">
        <v>6.293E-3</v>
      </c>
      <c r="K15" s="345">
        <v>5.2509999999999996E-3</v>
      </c>
      <c r="L15" s="345">
        <v>3.14E-3</v>
      </c>
      <c r="M15" s="345">
        <v>2.0939999999999999E-3</v>
      </c>
    </row>
    <row r="16" spans="1:13" ht="14.4">
      <c r="A16" s="335" t="s">
        <v>1107</v>
      </c>
      <c r="B16" s="332" t="s">
        <v>1084</v>
      </c>
      <c r="C16" s="332" t="s">
        <v>1085</v>
      </c>
      <c r="D16" s="332" t="s">
        <v>1081</v>
      </c>
      <c r="E16" s="338" t="s">
        <v>1086</v>
      </c>
      <c r="F16" s="344">
        <v>150.31333599999999</v>
      </c>
      <c r="G16" s="344">
        <v>134.0643</v>
      </c>
      <c r="H16" s="344">
        <v>104.15642800000001</v>
      </c>
      <c r="I16" s="346">
        <v>81.927221000000003</v>
      </c>
      <c r="J16" s="344">
        <v>150.30541199999999</v>
      </c>
      <c r="K16" s="344">
        <v>133.590687</v>
      </c>
      <c r="L16" s="344">
        <v>99.517999000000003</v>
      </c>
      <c r="M16" s="344">
        <v>72.892403000000002</v>
      </c>
    </row>
    <row r="17" spans="1:13" ht="14.4">
      <c r="A17" s="335" t="s">
        <v>1108</v>
      </c>
      <c r="B17" s="332" t="s">
        <v>1084</v>
      </c>
      <c r="C17" s="332" t="s">
        <v>1085</v>
      </c>
      <c r="D17" s="332" t="s">
        <v>1081</v>
      </c>
      <c r="E17" s="338" t="s">
        <v>1086</v>
      </c>
      <c r="F17" s="344">
        <v>150.31333599999999</v>
      </c>
      <c r="G17" s="344">
        <v>134.0643</v>
      </c>
      <c r="H17" s="344">
        <v>104.15642800000001</v>
      </c>
      <c r="I17" s="346">
        <v>81.927221000000003</v>
      </c>
      <c r="J17" s="344">
        <v>150.30541199999999</v>
      </c>
      <c r="K17" s="344">
        <v>133.590687</v>
      </c>
      <c r="L17" s="344">
        <v>99.517999000000003</v>
      </c>
      <c r="M17" s="344">
        <v>72.892403000000002</v>
      </c>
    </row>
    <row r="18" spans="1:13" ht="14.4">
      <c r="A18" s="335" t="s">
        <v>1109</v>
      </c>
      <c r="B18" s="332" t="s">
        <v>1110</v>
      </c>
      <c r="C18" s="332" t="s">
        <v>1111</v>
      </c>
      <c r="D18" s="332" t="s">
        <v>1081</v>
      </c>
      <c r="E18" s="338" t="s">
        <v>1082</v>
      </c>
      <c r="F18" s="344">
        <v>330.14460800000001</v>
      </c>
      <c r="G18" s="344">
        <v>247.69060099999999</v>
      </c>
      <c r="H18" s="344">
        <v>175.385659</v>
      </c>
      <c r="I18" s="346">
        <v>131.082178</v>
      </c>
      <c r="J18" s="344">
        <v>330.13345399999997</v>
      </c>
      <c r="K18" s="344">
        <v>237.94697400000001</v>
      </c>
      <c r="L18" s="344">
        <v>154.642732</v>
      </c>
      <c r="M18" s="344">
        <v>109.80485299999999</v>
      </c>
    </row>
    <row r="19" spans="1:13" ht="14.4">
      <c r="A19" s="335" t="s">
        <v>1112</v>
      </c>
      <c r="B19" s="332" t="s">
        <v>1090</v>
      </c>
      <c r="C19" s="332" t="s">
        <v>1091</v>
      </c>
      <c r="D19" s="332" t="s">
        <v>1081</v>
      </c>
      <c r="E19" s="338" t="s">
        <v>456</v>
      </c>
      <c r="F19" s="344">
        <v>147.72442100000001</v>
      </c>
      <c r="G19" s="344">
        <v>122.830634</v>
      </c>
      <c r="H19" s="344">
        <v>92.419966000000002</v>
      </c>
      <c r="I19" s="346">
        <v>78.201541000000006</v>
      </c>
      <c r="J19" s="344">
        <v>147.71588499999999</v>
      </c>
      <c r="K19" s="344">
        <v>121.58915</v>
      </c>
      <c r="L19" s="344">
        <v>85.641046000000003</v>
      </c>
      <c r="M19" s="344">
        <v>62.633808999999999</v>
      </c>
    </row>
    <row r="20" spans="1:13" ht="14.4">
      <c r="A20" s="335" t="s">
        <v>1113</v>
      </c>
      <c r="B20" s="332" t="s">
        <v>1114</v>
      </c>
      <c r="C20" s="332" t="s">
        <v>1115</v>
      </c>
      <c r="D20" s="332" t="s">
        <v>1081</v>
      </c>
      <c r="E20" s="338" t="s">
        <v>456</v>
      </c>
      <c r="F20" s="344">
        <v>916.40070200000002</v>
      </c>
      <c r="G20" s="344">
        <v>757.730411</v>
      </c>
      <c r="H20" s="344">
        <v>545.42828699999995</v>
      </c>
      <c r="I20" s="346">
        <v>452.53583500000002</v>
      </c>
      <c r="J20" s="344">
        <v>916.35010799999998</v>
      </c>
      <c r="K20" s="344">
        <v>753.19027800000003</v>
      </c>
      <c r="L20" s="344">
        <v>504.85333100000003</v>
      </c>
      <c r="M20" s="344">
        <v>375.51007900000002</v>
      </c>
    </row>
    <row r="21" spans="1:13" ht="14.4">
      <c r="A21" s="335" t="s">
        <v>1116</v>
      </c>
      <c r="B21" s="332" t="s">
        <v>1114</v>
      </c>
      <c r="C21" s="332" t="s">
        <v>1115</v>
      </c>
      <c r="D21" s="332" t="s">
        <v>1081</v>
      </c>
      <c r="E21" s="338" t="s">
        <v>456</v>
      </c>
      <c r="F21" s="344">
        <v>916.40070200000002</v>
      </c>
      <c r="G21" s="344">
        <v>757.730411</v>
      </c>
      <c r="H21" s="344">
        <v>545.42828699999995</v>
      </c>
      <c r="I21" s="346">
        <v>452.53583500000002</v>
      </c>
      <c r="J21" s="344">
        <v>916.35010799999998</v>
      </c>
      <c r="K21" s="344">
        <v>753.19027800000003</v>
      </c>
      <c r="L21" s="344">
        <v>504.85333100000003</v>
      </c>
      <c r="M21" s="344">
        <v>375.51007900000002</v>
      </c>
    </row>
    <row r="22" spans="1:13" ht="14.4">
      <c r="A22" s="335" t="s">
        <v>818</v>
      </c>
      <c r="B22" s="332" t="s">
        <v>1114</v>
      </c>
      <c r="C22" s="332" t="s">
        <v>1115</v>
      </c>
      <c r="D22" s="332" t="s">
        <v>1081</v>
      </c>
      <c r="E22" s="338" t="s">
        <v>456</v>
      </c>
      <c r="F22" s="344">
        <v>916.40070200000002</v>
      </c>
      <c r="G22" s="344">
        <v>757.730411</v>
      </c>
      <c r="H22" s="344">
        <v>545.42828699999995</v>
      </c>
      <c r="I22" s="346">
        <v>452.53583500000002</v>
      </c>
      <c r="J22" s="344">
        <v>916.35010799999998</v>
      </c>
      <c r="K22" s="344">
        <v>753.19027800000003</v>
      </c>
      <c r="L22" s="344">
        <v>504.85333100000003</v>
      </c>
      <c r="M22" s="344">
        <v>375.51007900000002</v>
      </c>
    </row>
    <row r="23" spans="1:13" ht="14.4">
      <c r="A23" s="335" t="s">
        <v>1117</v>
      </c>
      <c r="B23" s="332" t="s">
        <v>1114</v>
      </c>
      <c r="C23" s="332" t="s">
        <v>1115</v>
      </c>
      <c r="D23" s="332" t="s">
        <v>1081</v>
      </c>
      <c r="E23" s="338" t="s">
        <v>456</v>
      </c>
      <c r="F23" s="344">
        <v>916.40070200000002</v>
      </c>
      <c r="G23" s="344">
        <v>757.730411</v>
      </c>
      <c r="H23" s="344">
        <v>545.42828699999995</v>
      </c>
      <c r="I23" s="346">
        <v>452.53583500000002</v>
      </c>
      <c r="J23" s="344">
        <v>916.35010799999998</v>
      </c>
      <c r="K23" s="344">
        <v>753.19027800000003</v>
      </c>
      <c r="L23" s="344">
        <v>504.85333100000003</v>
      </c>
      <c r="M23" s="344">
        <v>375.51007900000002</v>
      </c>
    </row>
    <row r="24" spans="1:13" ht="14.4">
      <c r="A24" s="335" t="s">
        <v>825</v>
      </c>
      <c r="B24" s="332" t="s">
        <v>1114</v>
      </c>
      <c r="C24" s="332" t="s">
        <v>1115</v>
      </c>
      <c r="D24" s="332" t="s">
        <v>1081</v>
      </c>
      <c r="E24" s="338" t="s">
        <v>456</v>
      </c>
      <c r="F24" s="344">
        <v>916.40070200000002</v>
      </c>
      <c r="G24" s="344">
        <v>757.730411</v>
      </c>
      <c r="H24" s="344">
        <v>545.42828699999995</v>
      </c>
      <c r="I24" s="346">
        <v>452.53583500000002</v>
      </c>
      <c r="J24" s="344">
        <v>916.35010799999998</v>
      </c>
      <c r="K24" s="344">
        <v>753.19027800000003</v>
      </c>
      <c r="L24" s="344">
        <v>504.85333100000003</v>
      </c>
      <c r="M24" s="344">
        <v>375.51007900000002</v>
      </c>
    </row>
    <row r="25" spans="1:13" ht="14.4">
      <c r="A25" s="335" t="s">
        <v>835</v>
      </c>
      <c r="B25" s="332" t="s">
        <v>1118</v>
      </c>
      <c r="C25" s="332" t="s">
        <v>1119</v>
      </c>
      <c r="D25" s="332" t="s">
        <v>1081</v>
      </c>
      <c r="E25" s="338" t="s">
        <v>456</v>
      </c>
      <c r="F25" s="344">
        <v>12216.030809</v>
      </c>
      <c r="G25" s="344">
        <v>8520.426888</v>
      </c>
      <c r="H25" s="344">
        <v>4720.7741749999996</v>
      </c>
      <c r="I25" s="346">
        <v>3827.3191729999999</v>
      </c>
      <c r="J25" s="344">
        <v>12215.539736999999</v>
      </c>
      <c r="K25" s="344">
        <v>8371.4536960000005</v>
      </c>
      <c r="L25" s="344">
        <v>4460.3454970000003</v>
      </c>
      <c r="M25" s="344">
        <v>3193.3361239999999</v>
      </c>
    </row>
    <row r="26" spans="1:13" ht="14.4">
      <c r="A26" s="335" t="s">
        <v>840</v>
      </c>
      <c r="B26" s="332" t="s">
        <v>1120</v>
      </c>
      <c r="C26" s="332" t="s">
        <v>1120</v>
      </c>
      <c r="D26" s="332" t="s">
        <v>1081</v>
      </c>
      <c r="E26" s="338" t="s">
        <v>1082</v>
      </c>
      <c r="F26" s="344">
        <v>158.328451</v>
      </c>
      <c r="G26" s="344">
        <v>145.062907</v>
      </c>
      <c r="H26" s="344">
        <v>122.964814</v>
      </c>
      <c r="I26" s="346">
        <v>107.077487</v>
      </c>
      <c r="J26" s="344">
        <v>158.32197199999999</v>
      </c>
      <c r="K26" s="344">
        <v>144.632385</v>
      </c>
      <c r="L26" s="344">
        <v>121.27345699999999</v>
      </c>
      <c r="M26" s="344">
        <v>101.591933</v>
      </c>
    </row>
    <row r="27" spans="1:13" ht="14.4">
      <c r="A27" s="335" t="s">
        <v>843</v>
      </c>
      <c r="B27" s="332" t="s">
        <v>1090</v>
      </c>
      <c r="C27" s="332" t="s">
        <v>1091</v>
      </c>
      <c r="D27" s="332" t="s">
        <v>1081</v>
      </c>
      <c r="E27" s="338" t="s">
        <v>456</v>
      </c>
      <c r="F27" s="344">
        <v>147.72442100000001</v>
      </c>
      <c r="G27" s="344">
        <v>122.830634</v>
      </c>
      <c r="H27" s="344">
        <v>92.419966000000002</v>
      </c>
      <c r="I27" s="346">
        <v>78.201541000000006</v>
      </c>
      <c r="J27" s="344">
        <v>147.71588499999999</v>
      </c>
      <c r="K27" s="344">
        <v>121.58915</v>
      </c>
      <c r="L27" s="344">
        <v>85.641046000000003</v>
      </c>
      <c r="M27" s="344">
        <v>62.633808999999999</v>
      </c>
    </row>
    <row r="28" spans="1:13" ht="14.4">
      <c r="A28" s="335" t="s">
        <v>845</v>
      </c>
      <c r="B28" s="332" t="s">
        <v>1121</v>
      </c>
      <c r="C28" s="332" t="s">
        <v>1122</v>
      </c>
      <c r="D28" s="332" t="s">
        <v>1081</v>
      </c>
      <c r="E28" s="338" t="s">
        <v>456</v>
      </c>
      <c r="F28" s="344">
        <v>1636.0394630000001</v>
      </c>
      <c r="G28" s="344">
        <v>1505.552504</v>
      </c>
      <c r="H28" s="344">
        <v>1259.9696409999999</v>
      </c>
      <c r="I28" s="346">
        <v>1080.6140439999999</v>
      </c>
      <c r="J28" s="344">
        <v>1635.96543</v>
      </c>
      <c r="K28" s="344">
        <v>1499.4500969999999</v>
      </c>
      <c r="L28" s="344">
        <v>1216.433601</v>
      </c>
      <c r="M28" s="344">
        <v>932.71117200000003</v>
      </c>
    </row>
    <row r="29" spans="1:13" ht="14.4">
      <c r="A29" s="335" t="s">
        <v>849</v>
      </c>
      <c r="B29" s="332" t="s">
        <v>1123</v>
      </c>
      <c r="C29" s="332" t="s">
        <v>1124</v>
      </c>
      <c r="D29" s="332" t="s">
        <v>1081</v>
      </c>
      <c r="E29" s="338" t="s">
        <v>456</v>
      </c>
      <c r="F29" s="344">
        <v>369.53150799999997</v>
      </c>
      <c r="G29" s="344">
        <v>282.074253</v>
      </c>
      <c r="H29" s="344">
        <v>185.011595</v>
      </c>
      <c r="I29" s="346">
        <v>151.53849299999999</v>
      </c>
      <c r="J29" s="344">
        <v>369.51772799999998</v>
      </c>
      <c r="K29" s="344">
        <v>278.72861399999999</v>
      </c>
      <c r="L29" s="344">
        <v>179.92638299999999</v>
      </c>
      <c r="M29" s="344">
        <v>136.527975</v>
      </c>
    </row>
    <row r="30" spans="1:13" ht="14.4">
      <c r="A30" s="335" t="s">
        <v>853</v>
      </c>
      <c r="B30" s="332" t="s">
        <v>1125</v>
      </c>
      <c r="C30" s="332" t="s">
        <v>1126</v>
      </c>
      <c r="D30" s="332" t="s">
        <v>1081</v>
      </c>
      <c r="E30" s="338" t="s">
        <v>456</v>
      </c>
      <c r="F30" s="344">
        <v>300.12883199999999</v>
      </c>
      <c r="G30" s="344">
        <v>259.49701800000003</v>
      </c>
      <c r="H30" s="344">
        <v>202.07789500000001</v>
      </c>
      <c r="I30" s="346">
        <v>167.74103199999999</v>
      </c>
      <c r="J30" s="344">
        <v>300.10997099999997</v>
      </c>
      <c r="K30" s="344">
        <v>258.44048800000002</v>
      </c>
      <c r="L30" s="344">
        <v>193.36322799999999</v>
      </c>
      <c r="M30" s="344">
        <v>148.13223400000001</v>
      </c>
    </row>
    <row r="31" spans="1:13" ht="14.4">
      <c r="A31" s="336" t="s">
        <v>1127</v>
      </c>
      <c r="B31" s="333" t="s">
        <v>1102</v>
      </c>
      <c r="C31" s="333" t="s">
        <v>1103</v>
      </c>
      <c r="D31" s="333" t="s">
        <v>1089</v>
      </c>
      <c r="E31" s="339" t="s">
        <v>1082</v>
      </c>
      <c r="F31" s="345">
        <v>4.0274999999999998E-2</v>
      </c>
      <c r="G31" s="345">
        <v>3.1371000000000003E-2</v>
      </c>
      <c r="H31" s="345">
        <v>2.2304999999999998E-2</v>
      </c>
      <c r="I31" s="347">
        <v>1.8086000000000001E-2</v>
      </c>
      <c r="J31" s="345">
        <v>4.0271000000000001E-2</v>
      </c>
      <c r="K31" s="345">
        <v>3.0886E-2</v>
      </c>
      <c r="L31" s="345">
        <v>2.0787E-2</v>
      </c>
      <c r="M31" s="345">
        <v>1.6119999999999999E-2</v>
      </c>
    </row>
    <row r="32" spans="1:13" ht="14.4">
      <c r="A32" s="336" t="s">
        <v>1128</v>
      </c>
      <c r="B32" s="333" t="s">
        <v>1129</v>
      </c>
      <c r="C32" s="333" t="s">
        <v>1130</v>
      </c>
      <c r="D32" s="333" t="s">
        <v>1089</v>
      </c>
      <c r="E32" s="339" t="s">
        <v>456</v>
      </c>
      <c r="F32" s="345">
        <v>2.22E-4</v>
      </c>
      <c r="G32" s="345">
        <v>2.05E-4</v>
      </c>
      <c r="H32" s="345">
        <v>1.7200000000000001E-4</v>
      </c>
      <c r="I32" s="347">
        <v>1.4200000000000001E-4</v>
      </c>
      <c r="J32" s="345">
        <v>2.22E-4</v>
      </c>
      <c r="K32" s="345">
        <v>2.04E-4</v>
      </c>
      <c r="L32" s="345">
        <v>1.64E-4</v>
      </c>
      <c r="M32" s="345">
        <v>1.13E-4</v>
      </c>
    </row>
    <row r="33" spans="1:13" ht="14.4">
      <c r="A33" s="335" t="s">
        <v>855</v>
      </c>
      <c r="B33" s="332" t="s">
        <v>1131</v>
      </c>
      <c r="C33" s="332" t="s">
        <v>1132</v>
      </c>
      <c r="D33" s="332" t="s">
        <v>1081</v>
      </c>
      <c r="E33" s="338" t="s">
        <v>1082</v>
      </c>
      <c r="F33" s="344">
        <v>1508.6367049999999</v>
      </c>
      <c r="G33" s="344">
        <v>1393.6340070000001</v>
      </c>
      <c r="H33" s="344">
        <v>1253.9069400000001</v>
      </c>
      <c r="I33" s="346">
        <v>1152.5501549999999</v>
      </c>
      <c r="J33" s="344">
        <v>1508.548728</v>
      </c>
      <c r="K33" s="344">
        <v>1384.2379129999999</v>
      </c>
      <c r="L33" s="344">
        <v>1096.8146449999999</v>
      </c>
      <c r="M33" s="344">
        <v>714.38198399999999</v>
      </c>
    </row>
    <row r="34" spans="1:13" ht="14.4">
      <c r="A34" s="335" t="s">
        <v>859</v>
      </c>
      <c r="B34" s="332" t="s">
        <v>1131</v>
      </c>
      <c r="C34" s="332" t="s">
        <v>1132</v>
      </c>
      <c r="D34" s="332" t="s">
        <v>1081</v>
      </c>
      <c r="E34" s="338" t="s">
        <v>1082</v>
      </c>
      <c r="F34" s="344">
        <v>1508.6367049999999</v>
      </c>
      <c r="G34" s="344">
        <v>1393.6340070000001</v>
      </c>
      <c r="H34" s="344">
        <v>1253.9069400000001</v>
      </c>
      <c r="I34" s="346">
        <v>1152.5501549999999</v>
      </c>
      <c r="J34" s="344">
        <v>1508.548728</v>
      </c>
      <c r="K34" s="344">
        <v>1384.2379129999999</v>
      </c>
      <c r="L34" s="344">
        <v>1096.8146449999999</v>
      </c>
      <c r="M34" s="344">
        <v>714.38198399999999</v>
      </c>
    </row>
    <row r="35" spans="1:13" ht="14.4">
      <c r="A35" s="336" t="s">
        <v>861</v>
      </c>
      <c r="B35" s="333" t="s">
        <v>1133</v>
      </c>
      <c r="C35" s="333" t="s">
        <v>1134</v>
      </c>
      <c r="D35" s="333" t="s">
        <v>1081</v>
      </c>
      <c r="E35" s="339" t="s">
        <v>456</v>
      </c>
      <c r="F35" s="345">
        <v>1335.991205</v>
      </c>
      <c r="G35" s="345">
        <v>1226.973111</v>
      </c>
      <c r="H35" s="345">
        <v>991.285978</v>
      </c>
      <c r="I35" s="347">
        <v>762.98027000000002</v>
      </c>
      <c r="J35" s="345">
        <v>1335.960176</v>
      </c>
      <c r="K35" s="345">
        <v>1222.327546</v>
      </c>
      <c r="L35" s="345">
        <v>973.32500400000004</v>
      </c>
      <c r="M35" s="345">
        <v>669.514004</v>
      </c>
    </row>
    <row r="36" spans="1:13" ht="14.4">
      <c r="A36" s="336" t="s">
        <v>867</v>
      </c>
      <c r="B36" s="333" t="s">
        <v>1131</v>
      </c>
      <c r="C36" s="333" t="s">
        <v>1132</v>
      </c>
      <c r="D36" s="333" t="s">
        <v>1081</v>
      </c>
      <c r="E36" s="339" t="s">
        <v>1082</v>
      </c>
      <c r="F36" s="345">
        <v>1508.6367049999999</v>
      </c>
      <c r="G36" s="345">
        <v>1393.6340070000001</v>
      </c>
      <c r="H36" s="345">
        <v>1253.9069400000001</v>
      </c>
      <c r="I36" s="347">
        <v>1152.5501549999999</v>
      </c>
      <c r="J36" s="345">
        <v>1508.548728</v>
      </c>
      <c r="K36" s="345">
        <v>1384.2379129999999</v>
      </c>
      <c r="L36" s="345">
        <v>1096.8146449999999</v>
      </c>
      <c r="M36" s="345">
        <v>714.38198399999999</v>
      </c>
    </row>
    <row r="37" spans="1:13" ht="14.4">
      <c r="A37" s="335" t="s">
        <v>864</v>
      </c>
      <c r="B37" s="332" t="s">
        <v>1131</v>
      </c>
      <c r="C37" s="332" t="s">
        <v>1132</v>
      </c>
      <c r="D37" s="332" t="s">
        <v>1081</v>
      </c>
      <c r="E37" s="338" t="s">
        <v>1082</v>
      </c>
      <c r="F37" s="344">
        <v>1508.6367049999999</v>
      </c>
      <c r="G37" s="344">
        <v>1393.6340070000001</v>
      </c>
      <c r="H37" s="344">
        <v>1253.9069400000001</v>
      </c>
      <c r="I37" s="346">
        <v>1152.5501549999999</v>
      </c>
      <c r="J37" s="344">
        <v>1508.548728</v>
      </c>
      <c r="K37" s="344">
        <v>1384.2379129999999</v>
      </c>
      <c r="L37" s="344">
        <v>1096.8146449999999</v>
      </c>
      <c r="M37" s="344">
        <v>714.38198399999999</v>
      </c>
    </row>
    <row r="38" spans="1:13" ht="14.4">
      <c r="A38" s="335" t="s">
        <v>869</v>
      </c>
      <c r="B38" s="332" t="s">
        <v>1135</v>
      </c>
      <c r="C38" s="332" t="s">
        <v>1136</v>
      </c>
      <c r="D38" s="332" t="s">
        <v>1089</v>
      </c>
      <c r="E38" s="338" t="s">
        <v>1086</v>
      </c>
      <c r="F38" s="344">
        <v>1.0859999999999999E-3</v>
      </c>
      <c r="G38" s="344">
        <v>1.0139999999999999E-3</v>
      </c>
      <c r="H38" s="344">
        <v>8.2100000000000001E-4</v>
      </c>
      <c r="I38" s="346">
        <v>6.0300000000000002E-4</v>
      </c>
      <c r="J38" s="344">
        <v>1.0859999999999999E-3</v>
      </c>
      <c r="K38" s="344">
        <v>1.0139999999999999E-3</v>
      </c>
      <c r="L38" s="344">
        <v>7.9900000000000001E-4</v>
      </c>
      <c r="M38" s="344">
        <v>5.1500000000000005E-4</v>
      </c>
    </row>
    <row r="39" spans="1:13" ht="14.4">
      <c r="A39" s="335" t="s">
        <v>873</v>
      </c>
      <c r="B39" s="332" t="s">
        <v>1135</v>
      </c>
      <c r="C39" s="332" t="s">
        <v>1136</v>
      </c>
      <c r="D39" s="332" t="s">
        <v>1089</v>
      </c>
      <c r="E39" s="338" t="s">
        <v>1086</v>
      </c>
      <c r="F39" s="344">
        <v>1.0859999999999999E-3</v>
      </c>
      <c r="G39" s="344">
        <v>1.0139999999999999E-3</v>
      </c>
      <c r="H39" s="344">
        <v>8.2100000000000001E-4</v>
      </c>
      <c r="I39" s="346">
        <v>6.0300000000000002E-4</v>
      </c>
      <c r="J39" s="344">
        <v>1.0859999999999999E-3</v>
      </c>
      <c r="K39" s="344">
        <v>1.0139999999999999E-3</v>
      </c>
      <c r="L39" s="344">
        <v>7.9900000000000001E-4</v>
      </c>
      <c r="M39" s="344">
        <v>5.1500000000000005E-4</v>
      </c>
    </row>
    <row r="40" spans="1:13" ht="14.4">
      <c r="A40" s="336" t="s">
        <v>875</v>
      </c>
      <c r="B40" s="333" t="s">
        <v>1135</v>
      </c>
      <c r="C40" s="333" t="s">
        <v>1136</v>
      </c>
      <c r="D40" s="333" t="s">
        <v>1089</v>
      </c>
      <c r="E40" s="339" t="s">
        <v>1086</v>
      </c>
      <c r="F40" s="345">
        <v>1.0859999999999999E-3</v>
      </c>
      <c r="G40" s="345">
        <v>1.0139999999999999E-3</v>
      </c>
      <c r="H40" s="345">
        <v>8.2100000000000001E-4</v>
      </c>
      <c r="I40" s="347">
        <v>6.0300000000000002E-4</v>
      </c>
      <c r="J40" s="345">
        <v>1.0859999999999999E-3</v>
      </c>
      <c r="K40" s="345">
        <v>1.0139999999999999E-3</v>
      </c>
      <c r="L40" s="345">
        <v>7.9900000000000001E-4</v>
      </c>
      <c r="M40" s="345">
        <v>5.1500000000000005E-4</v>
      </c>
    </row>
    <row r="41" spans="1:13" ht="14.4">
      <c r="A41" s="335" t="s">
        <v>1137</v>
      </c>
      <c r="B41" s="332" t="s">
        <v>1138</v>
      </c>
      <c r="C41" s="332" t="s">
        <v>1139</v>
      </c>
      <c r="D41" s="332" t="s">
        <v>1081</v>
      </c>
      <c r="E41" s="338" t="s">
        <v>1082</v>
      </c>
      <c r="F41" s="344">
        <v>656.34678799999995</v>
      </c>
      <c r="G41" s="344">
        <v>525.67232999999999</v>
      </c>
      <c r="H41" s="344">
        <v>369.47780899999998</v>
      </c>
      <c r="I41" s="346">
        <v>301.20529499999998</v>
      </c>
      <c r="J41" s="344">
        <v>656.32205399999998</v>
      </c>
      <c r="K41" s="344">
        <v>526.37912700000004</v>
      </c>
      <c r="L41" s="344">
        <v>353.35229900000002</v>
      </c>
      <c r="M41" s="344">
        <v>281.48415</v>
      </c>
    </row>
    <row r="42" spans="1:13" ht="14.4">
      <c r="A42" s="335" t="s">
        <v>1140</v>
      </c>
      <c r="B42" s="332" t="s">
        <v>1141</v>
      </c>
      <c r="C42" s="332" t="s">
        <v>1142</v>
      </c>
      <c r="D42" s="332" t="s">
        <v>1081</v>
      </c>
      <c r="E42" s="338" t="s">
        <v>1082</v>
      </c>
      <c r="F42" s="344">
        <v>513.95791499999996</v>
      </c>
      <c r="G42" s="344">
        <v>372.70365099999998</v>
      </c>
      <c r="H42" s="344">
        <v>90.354939000000002</v>
      </c>
      <c r="I42" s="346">
        <v>69.905090000000001</v>
      </c>
      <c r="J42" s="344">
        <v>513.949524</v>
      </c>
      <c r="K42" s="344">
        <v>374.99349999999998</v>
      </c>
      <c r="L42" s="344">
        <v>83.648225999999994</v>
      </c>
      <c r="M42" s="344">
        <v>65.508077999999998</v>
      </c>
    </row>
    <row r="43" spans="1:13" ht="14.4">
      <c r="A43" s="335" t="s">
        <v>1143</v>
      </c>
      <c r="B43" s="332" t="s">
        <v>1105</v>
      </c>
      <c r="C43" s="332" t="s">
        <v>1080</v>
      </c>
      <c r="D43" s="332" t="s">
        <v>1081</v>
      </c>
      <c r="E43" s="338" t="s">
        <v>1082</v>
      </c>
      <c r="F43" s="344">
        <v>285.98691300000002</v>
      </c>
      <c r="G43" s="344">
        <v>211.77496500000001</v>
      </c>
      <c r="H43" s="344">
        <v>146.96989300000001</v>
      </c>
      <c r="I43" s="346">
        <v>112.836592</v>
      </c>
      <c r="J43" s="344">
        <v>285.97094199999998</v>
      </c>
      <c r="K43" s="344">
        <v>206.904864</v>
      </c>
      <c r="L43" s="344">
        <v>130.783906</v>
      </c>
      <c r="M43" s="344">
        <v>95.188329999999993</v>
      </c>
    </row>
    <row r="44" spans="1:13" ht="14.4">
      <c r="A44" s="335" t="s">
        <v>883</v>
      </c>
      <c r="B44" s="332" t="s">
        <v>1129</v>
      </c>
      <c r="C44" s="332" t="s">
        <v>1130</v>
      </c>
      <c r="D44" s="332" t="s">
        <v>1089</v>
      </c>
      <c r="E44" s="338" t="s">
        <v>456</v>
      </c>
      <c r="F44" s="344">
        <v>2.22E-4</v>
      </c>
      <c r="G44" s="344">
        <v>2.05E-4</v>
      </c>
      <c r="H44" s="344">
        <v>1.7200000000000001E-4</v>
      </c>
      <c r="I44" s="346">
        <v>1.4200000000000001E-4</v>
      </c>
      <c r="J44" s="344">
        <v>2.22E-4</v>
      </c>
      <c r="K44" s="344">
        <v>2.04E-4</v>
      </c>
      <c r="L44" s="344">
        <v>1.64E-4</v>
      </c>
      <c r="M44" s="344">
        <v>1.13E-4</v>
      </c>
    </row>
    <row r="45" spans="1:13" ht="14.4">
      <c r="A45" s="335" t="s">
        <v>886</v>
      </c>
      <c r="B45" s="332" t="s">
        <v>1129</v>
      </c>
      <c r="C45" s="332" t="s">
        <v>1130</v>
      </c>
      <c r="D45" s="332" t="s">
        <v>1089</v>
      </c>
      <c r="E45" s="338" t="s">
        <v>456</v>
      </c>
      <c r="F45" s="344">
        <v>2.22E-4</v>
      </c>
      <c r="G45" s="344">
        <v>2.05E-4</v>
      </c>
      <c r="H45" s="344">
        <v>1.7200000000000001E-4</v>
      </c>
      <c r="I45" s="346">
        <v>1.4200000000000001E-4</v>
      </c>
      <c r="J45" s="344">
        <v>2.22E-4</v>
      </c>
      <c r="K45" s="344">
        <v>2.04E-4</v>
      </c>
      <c r="L45" s="344">
        <v>1.64E-4</v>
      </c>
      <c r="M45" s="344">
        <v>1.13E-4</v>
      </c>
    </row>
    <row r="46" spans="1:13" ht="14.4">
      <c r="A46" s="335" t="s">
        <v>889</v>
      </c>
      <c r="B46" s="332" t="s">
        <v>1129</v>
      </c>
      <c r="C46" s="332" t="s">
        <v>1130</v>
      </c>
      <c r="D46" s="332" t="s">
        <v>1089</v>
      </c>
      <c r="E46" s="338" t="s">
        <v>456</v>
      </c>
      <c r="F46" s="344">
        <v>2.22E-4</v>
      </c>
      <c r="G46" s="344">
        <v>2.05E-4</v>
      </c>
      <c r="H46" s="344">
        <v>1.7200000000000001E-4</v>
      </c>
      <c r="I46" s="346">
        <v>1.4200000000000001E-4</v>
      </c>
      <c r="J46" s="344">
        <v>2.22E-4</v>
      </c>
      <c r="K46" s="344">
        <v>2.04E-4</v>
      </c>
      <c r="L46" s="344">
        <v>1.64E-4</v>
      </c>
      <c r="M46" s="344">
        <v>1.13E-4</v>
      </c>
    </row>
    <row r="47" spans="1:13" ht="14.4">
      <c r="A47" s="335" t="s">
        <v>891</v>
      </c>
      <c r="B47" s="332" t="s">
        <v>1129</v>
      </c>
      <c r="C47" s="332" t="s">
        <v>1130</v>
      </c>
      <c r="D47" s="332" t="s">
        <v>1089</v>
      </c>
      <c r="E47" s="338" t="s">
        <v>456</v>
      </c>
      <c r="F47" s="344">
        <v>2.22E-4</v>
      </c>
      <c r="G47" s="344">
        <v>2.05E-4</v>
      </c>
      <c r="H47" s="344">
        <v>1.7200000000000001E-4</v>
      </c>
      <c r="I47" s="346">
        <v>1.4200000000000001E-4</v>
      </c>
      <c r="J47" s="344">
        <v>2.22E-4</v>
      </c>
      <c r="K47" s="344">
        <v>2.04E-4</v>
      </c>
      <c r="L47" s="344">
        <v>1.64E-4</v>
      </c>
      <c r="M47" s="344">
        <v>1.13E-4</v>
      </c>
    </row>
    <row r="48" spans="1:13" ht="14.4">
      <c r="A48" s="336" t="s">
        <v>1144</v>
      </c>
      <c r="B48" s="333" t="s">
        <v>1145</v>
      </c>
      <c r="C48" s="333" t="s">
        <v>1146</v>
      </c>
      <c r="D48" s="333" t="s">
        <v>1089</v>
      </c>
      <c r="E48" s="339" t="s">
        <v>456</v>
      </c>
      <c r="F48" s="345">
        <v>3.6099999999999999E-4</v>
      </c>
      <c r="G48" s="345">
        <v>3.3399999999999999E-4</v>
      </c>
      <c r="H48" s="345">
        <v>2.7300000000000002E-4</v>
      </c>
      <c r="I48" s="347">
        <v>2.1699999999999999E-4</v>
      </c>
      <c r="J48" s="345">
        <v>3.6099999999999999E-4</v>
      </c>
      <c r="K48" s="345">
        <v>3.3300000000000002E-4</v>
      </c>
      <c r="L48" s="345">
        <v>2.6499999999999999E-4</v>
      </c>
      <c r="M48" s="345">
        <v>1.8900000000000001E-4</v>
      </c>
    </row>
    <row r="49" spans="1:13" ht="14.4">
      <c r="A49" s="336" t="s">
        <v>1147</v>
      </c>
      <c r="B49" s="333" t="s">
        <v>1145</v>
      </c>
      <c r="C49" s="333" t="s">
        <v>1146</v>
      </c>
      <c r="D49" s="333" t="s">
        <v>1089</v>
      </c>
      <c r="E49" s="339" t="s">
        <v>456</v>
      </c>
      <c r="F49" s="345">
        <v>3.6099999999999999E-4</v>
      </c>
      <c r="G49" s="345">
        <v>3.3399999999999999E-4</v>
      </c>
      <c r="H49" s="345">
        <v>2.7300000000000002E-4</v>
      </c>
      <c r="I49" s="347">
        <v>2.1699999999999999E-4</v>
      </c>
      <c r="J49" s="345">
        <v>3.6099999999999999E-4</v>
      </c>
      <c r="K49" s="345">
        <v>3.3300000000000002E-4</v>
      </c>
      <c r="L49" s="345">
        <v>2.6499999999999999E-4</v>
      </c>
      <c r="M49" s="345">
        <v>1.8900000000000001E-4</v>
      </c>
    </row>
    <row r="50" spans="1:13" ht="14.4">
      <c r="A50" s="335" t="s">
        <v>1148</v>
      </c>
      <c r="B50" s="332" t="s">
        <v>1145</v>
      </c>
      <c r="C50" s="332" t="s">
        <v>1146</v>
      </c>
      <c r="D50" s="332" t="s">
        <v>1089</v>
      </c>
      <c r="E50" s="338" t="s">
        <v>456</v>
      </c>
      <c r="F50" s="344">
        <v>3.6099999999999999E-4</v>
      </c>
      <c r="G50" s="344">
        <v>3.3399999999999999E-4</v>
      </c>
      <c r="H50" s="344">
        <v>2.7300000000000002E-4</v>
      </c>
      <c r="I50" s="346">
        <v>2.1699999999999999E-4</v>
      </c>
      <c r="J50" s="344">
        <v>3.6099999999999999E-4</v>
      </c>
      <c r="K50" s="344">
        <v>3.3300000000000002E-4</v>
      </c>
      <c r="L50" s="344">
        <v>2.6499999999999999E-4</v>
      </c>
      <c r="M50" s="344">
        <v>1.8900000000000001E-4</v>
      </c>
    </row>
    <row r="51" spans="1:13" ht="14.4">
      <c r="A51" s="335" t="s">
        <v>899</v>
      </c>
      <c r="B51" s="332" t="s">
        <v>1102</v>
      </c>
      <c r="C51" s="332" t="s">
        <v>1103</v>
      </c>
      <c r="D51" s="332" t="s">
        <v>1089</v>
      </c>
      <c r="E51" s="338" t="s">
        <v>1082</v>
      </c>
      <c r="F51" s="344">
        <v>4.0274999999999998E-2</v>
      </c>
      <c r="G51" s="344">
        <v>3.1371000000000003E-2</v>
      </c>
      <c r="H51" s="344">
        <v>2.2304999999999998E-2</v>
      </c>
      <c r="I51" s="346">
        <v>1.8086000000000001E-2</v>
      </c>
      <c r="J51" s="344">
        <v>4.0271000000000001E-2</v>
      </c>
      <c r="K51" s="344">
        <v>3.0886E-2</v>
      </c>
      <c r="L51" s="344">
        <v>2.0787E-2</v>
      </c>
      <c r="M51" s="344">
        <v>1.6119999999999999E-2</v>
      </c>
    </row>
    <row r="52" spans="1:13" ht="14.4">
      <c r="A52" s="335" t="s">
        <v>1149</v>
      </c>
      <c r="B52" s="332" t="s">
        <v>1150</v>
      </c>
      <c r="C52" s="332" t="s">
        <v>1151</v>
      </c>
      <c r="D52" s="332" t="s">
        <v>1089</v>
      </c>
      <c r="E52" s="338" t="s">
        <v>1082</v>
      </c>
      <c r="F52" s="344">
        <v>9.7809999999999998E-3</v>
      </c>
      <c r="G52" s="344">
        <v>8.175E-3</v>
      </c>
      <c r="H52" s="344">
        <v>5.6030000000000003E-3</v>
      </c>
      <c r="I52" s="346">
        <v>4.1809999999999998E-3</v>
      </c>
      <c r="J52" s="344">
        <v>9.7800000000000005E-3</v>
      </c>
      <c r="K52" s="344">
        <v>8.2039999999999995E-3</v>
      </c>
      <c r="L52" s="344">
        <v>5.0520000000000001E-3</v>
      </c>
      <c r="M52" s="344">
        <v>3.4689999999999999E-3</v>
      </c>
    </row>
    <row r="53" spans="1:13" ht="14.4">
      <c r="A53" s="335" t="s">
        <v>906</v>
      </c>
      <c r="B53" s="332" t="s">
        <v>1152</v>
      </c>
      <c r="C53" s="332" t="s">
        <v>1152</v>
      </c>
      <c r="D53" s="332" t="s">
        <v>1089</v>
      </c>
      <c r="E53" s="338" t="s">
        <v>1082</v>
      </c>
      <c r="F53" s="344">
        <v>3.4778999999999997E-2</v>
      </c>
      <c r="G53" s="344">
        <v>2.9281999999999999E-2</v>
      </c>
      <c r="H53" s="344">
        <v>2.1694000000000001E-2</v>
      </c>
      <c r="I53" s="346">
        <v>1.8071E-2</v>
      </c>
      <c r="J53" s="344">
        <v>3.4776000000000001E-2</v>
      </c>
      <c r="K53" s="344">
        <v>2.9318E-2</v>
      </c>
      <c r="L53" s="344">
        <v>2.0899000000000001E-2</v>
      </c>
      <c r="M53" s="344">
        <v>1.6414999999999999E-2</v>
      </c>
    </row>
    <row r="54" spans="1:13" ht="14.4">
      <c r="A54" s="335" t="s">
        <v>911</v>
      </c>
      <c r="B54" s="332" t="s">
        <v>1152</v>
      </c>
      <c r="C54" s="332" t="s">
        <v>1152</v>
      </c>
      <c r="D54" s="332" t="s">
        <v>1089</v>
      </c>
      <c r="E54" s="338" t="s">
        <v>1082</v>
      </c>
      <c r="F54" s="344">
        <v>3.4778999999999997E-2</v>
      </c>
      <c r="G54" s="344">
        <v>2.9281999999999999E-2</v>
      </c>
      <c r="H54" s="344">
        <v>2.1694000000000001E-2</v>
      </c>
      <c r="I54" s="346">
        <v>1.8071E-2</v>
      </c>
      <c r="J54" s="344">
        <v>3.4776000000000001E-2</v>
      </c>
      <c r="K54" s="344">
        <v>2.9318E-2</v>
      </c>
      <c r="L54" s="344">
        <v>2.0899000000000001E-2</v>
      </c>
      <c r="M54" s="344">
        <v>1.6414999999999999E-2</v>
      </c>
    </row>
    <row r="55" spans="1:13" ht="14.4">
      <c r="A55" s="336" t="s">
        <v>1153</v>
      </c>
      <c r="B55" s="333" t="s">
        <v>1102</v>
      </c>
      <c r="C55" s="333" t="s">
        <v>1103</v>
      </c>
      <c r="D55" s="333" t="s">
        <v>1089</v>
      </c>
      <c r="E55" s="339" t="s">
        <v>1082</v>
      </c>
      <c r="F55" s="345">
        <v>4.0274999999999998E-2</v>
      </c>
      <c r="G55" s="345">
        <v>3.1371000000000003E-2</v>
      </c>
      <c r="H55" s="345">
        <v>2.2304999999999998E-2</v>
      </c>
      <c r="I55" s="347">
        <v>1.8086000000000001E-2</v>
      </c>
      <c r="J55" s="345">
        <v>4.0271000000000001E-2</v>
      </c>
      <c r="K55" s="345">
        <v>3.0886E-2</v>
      </c>
      <c r="L55" s="345">
        <v>2.0787E-2</v>
      </c>
      <c r="M55" s="345">
        <v>1.6119999999999999E-2</v>
      </c>
    </row>
    <row r="56" spans="1:13" ht="14.4">
      <c r="A56" s="335" t="s">
        <v>926</v>
      </c>
      <c r="B56" s="332" t="s">
        <v>1154</v>
      </c>
      <c r="C56" s="332" t="s">
        <v>1155</v>
      </c>
      <c r="D56" s="332" t="s">
        <v>1081</v>
      </c>
      <c r="E56" s="338" t="s">
        <v>1086</v>
      </c>
      <c r="F56" s="344">
        <v>1335.1384539999999</v>
      </c>
      <c r="G56" s="344">
        <v>989.42350099999999</v>
      </c>
      <c r="H56" s="344">
        <v>568.91616899999997</v>
      </c>
      <c r="I56" s="346">
        <v>430.57167199999998</v>
      </c>
      <c r="J56" s="344">
        <v>1335.092721</v>
      </c>
      <c r="K56" s="344">
        <v>992.592037</v>
      </c>
      <c r="L56" s="344">
        <v>544.42622200000005</v>
      </c>
      <c r="M56" s="344">
        <v>402.42670900000002</v>
      </c>
    </row>
    <row r="57" spans="1:13" ht="14.4">
      <c r="A57" s="335" t="s">
        <v>934</v>
      </c>
      <c r="B57" s="332" t="s">
        <v>1154</v>
      </c>
      <c r="C57" s="332" t="s">
        <v>1155</v>
      </c>
      <c r="D57" s="332" t="s">
        <v>1081</v>
      </c>
      <c r="E57" s="338" t="s">
        <v>1086</v>
      </c>
      <c r="F57" s="344">
        <v>1335.1384539999999</v>
      </c>
      <c r="G57" s="344">
        <v>989.42350099999999</v>
      </c>
      <c r="H57" s="344">
        <v>568.91616899999997</v>
      </c>
      <c r="I57" s="346">
        <v>430.57167199999998</v>
      </c>
      <c r="J57" s="344">
        <v>1335.092721</v>
      </c>
      <c r="K57" s="344">
        <v>992.592037</v>
      </c>
      <c r="L57" s="344">
        <v>544.42622200000005</v>
      </c>
      <c r="M57" s="344">
        <v>402.42670900000002</v>
      </c>
    </row>
    <row r="58" spans="1:13" ht="14.4">
      <c r="A58" s="336" t="s">
        <v>1156</v>
      </c>
      <c r="B58" s="333" t="s">
        <v>1121</v>
      </c>
      <c r="C58" s="333" t="s">
        <v>1122</v>
      </c>
      <c r="D58" s="333" t="s">
        <v>1081</v>
      </c>
      <c r="E58" s="339" t="s">
        <v>456</v>
      </c>
      <c r="F58" s="345">
        <v>1636.0394630000001</v>
      </c>
      <c r="G58" s="345">
        <v>1505.552504</v>
      </c>
      <c r="H58" s="345">
        <v>1259.9696409999999</v>
      </c>
      <c r="I58" s="347">
        <v>1080.6140439999999</v>
      </c>
      <c r="J58" s="345">
        <v>1635.96543</v>
      </c>
      <c r="K58" s="345">
        <v>1499.4500969999999</v>
      </c>
      <c r="L58" s="345">
        <v>1216.433601</v>
      </c>
      <c r="M58" s="345">
        <v>932.71117200000003</v>
      </c>
    </row>
    <row r="59" spans="1:13" ht="14.4">
      <c r="A59" s="335" t="s">
        <v>954</v>
      </c>
      <c r="B59" s="332" t="s">
        <v>1157</v>
      </c>
      <c r="C59" s="332" t="s">
        <v>1158</v>
      </c>
      <c r="D59" s="332" t="s">
        <v>1081</v>
      </c>
      <c r="E59" s="338" t="s">
        <v>1086</v>
      </c>
      <c r="F59" s="344">
        <v>45.144232000000002</v>
      </c>
      <c r="G59" s="344">
        <v>38.032645000000002</v>
      </c>
      <c r="H59" s="344">
        <v>27.004653999999999</v>
      </c>
      <c r="I59" s="346">
        <v>21.901610000000002</v>
      </c>
      <c r="J59" s="344">
        <v>45.141525000000001</v>
      </c>
      <c r="K59" s="344">
        <v>37.919542999999997</v>
      </c>
      <c r="L59" s="344">
        <v>25.279029000000001</v>
      </c>
      <c r="M59" s="344">
        <v>18.382648</v>
      </c>
    </row>
    <row r="60" spans="1:13" ht="14.4">
      <c r="A60" s="335" t="s">
        <v>1002</v>
      </c>
      <c r="B60" s="332" t="s">
        <v>1157</v>
      </c>
      <c r="C60" s="332" t="s">
        <v>1158</v>
      </c>
      <c r="D60" s="332" t="s">
        <v>1081</v>
      </c>
      <c r="E60" s="338" t="s">
        <v>1086</v>
      </c>
      <c r="F60" s="344">
        <v>45.144232000000002</v>
      </c>
      <c r="G60" s="344">
        <v>38.032645000000002</v>
      </c>
      <c r="H60" s="344">
        <v>27.004653999999999</v>
      </c>
      <c r="I60" s="346">
        <v>21.901610000000002</v>
      </c>
      <c r="J60" s="344">
        <v>45.141525000000001</v>
      </c>
      <c r="K60" s="344">
        <v>37.919542999999997</v>
      </c>
      <c r="L60" s="344">
        <v>25.279029000000001</v>
      </c>
      <c r="M60" s="344">
        <v>18.382648</v>
      </c>
    </row>
    <row r="61" spans="1:13" ht="14.4">
      <c r="A61" s="335" t="s">
        <v>960</v>
      </c>
      <c r="B61" s="332" t="s">
        <v>1157</v>
      </c>
      <c r="C61" s="332" t="s">
        <v>1158</v>
      </c>
      <c r="D61" s="332" t="s">
        <v>1081</v>
      </c>
      <c r="E61" s="338" t="s">
        <v>1086</v>
      </c>
      <c r="F61" s="344">
        <v>45.144232000000002</v>
      </c>
      <c r="G61" s="344">
        <v>38.032645000000002</v>
      </c>
      <c r="H61" s="344">
        <v>27.004653999999999</v>
      </c>
      <c r="I61" s="346">
        <v>21.901610000000002</v>
      </c>
      <c r="J61" s="344">
        <v>45.141525000000001</v>
      </c>
      <c r="K61" s="344">
        <v>37.919542999999997</v>
      </c>
      <c r="L61" s="344">
        <v>25.279029000000001</v>
      </c>
      <c r="M61" s="344">
        <v>18.382648</v>
      </c>
    </row>
    <row r="62" spans="1:13" ht="14.4">
      <c r="A62" s="335" t="s">
        <v>1159</v>
      </c>
      <c r="B62" s="332" t="s">
        <v>1157</v>
      </c>
      <c r="C62" s="332" t="s">
        <v>1158</v>
      </c>
      <c r="D62" s="332" t="s">
        <v>1081</v>
      </c>
      <c r="E62" s="338" t="s">
        <v>1086</v>
      </c>
      <c r="F62" s="344">
        <v>45.144232000000002</v>
      </c>
      <c r="G62" s="344">
        <v>38.032645000000002</v>
      </c>
      <c r="H62" s="344">
        <v>27.004653999999999</v>
      </c>
      <c r="I62" s="346">
        <v>21.901610000000002</v>
      </c>
      <c r="J62" s="344">
        <v>45.141525000000001</v>
      </c>
      <c r="K62" s="344">
        <v>37.919542999999997</v>
      </c>
      <c r="L62" s="344">
        <v>25.279029000000001</v>
      </c>
      <c r="M62" s="344">
        <v>18.382648</v>
      </c>
    </row>
    <row r="63" spans="1:13" ht="14.4">
      <c r="A63" s="335" t="s">
        <v>967</v>
      </c>
      <c r="B63" s="332" t="s">
        <v>1160</v>
      </c>
      <c r="C63" s="332" t="s">
        <v>1161</v>
      </c>
      <c r="D63" s="332" t="s">
        <v>1081</v>
      </c>
      <c r="E63" s="338" t="s">
        <v>456</v>
      </c>
      <c r="F63" s="344">
        <v>1.2864409999999999</v>
      </c>
      <c r="G63" s="344">
        <v>1.0826100000000001</v>
      </c>
      <c r="H63" s="344">
        <v>0.78660300000000005</v>
      </c>
      <c r="I63" s="346">
        <v>0.641235</v>
      </c>
      <c r="J63" s="344">
        <v>1.2863640000000001</v>
      </c>
      <c r="K63" s="344">
        <v>1.08369</v>
      </c>
      <c r="L63" s="344">
        <v>0.73111800000000005</v>
      </c>
      <c r="M63" s="344">
        <v>0.56788499999999997</v>
      </c>
    </row>
    <row r="64" spans="1:13" ht="14.4">
      <c r="A64" s="335" t="s">
        <v>971</v>
      </c>
      <c r="B64" s="332" t="s">
        <v>1162</v>
      </c>
      <c r="C64" s="332" t="s">
        <v>1163</v>
      </c>
      <c r="D64" s="332" t="s">
        <v>1081</v>
      </c>
      <c r="E64" s="338" t="s">
        <v>456</v>
      </c>
      <c r="F64" s="344">
        <v>292.11593499999998</v>
      </c>
      <c r="G64" s="344">
        <v>240.12995799999999</v>
      </c>
      <c r="H64" s="344">
        <v>172.656721</v>
      </c>
      <c r="I64" s="346">
        <v>146.36406400000001</v>
      </c>
      <c r="J64" s="344">
        <v>292.10039599999999</v>
      </c>
      <c r="K64" s="344">
        <v>238.78958800000001</v>
      </c>
      <c r="L64" s="344">
        <v>161.80183299999999</v>
      </c>
      <c r="M64" s="344">
        <v>123.97705500000001</v>
      </c>
    </row>
    <row r="65" spans="1:13" ht="14.4">
      <c r="A65" s="335" t="s">
        <v>973</v>
      </c>
      <c r="B65" s="332" t="s">
        <v>1164</v>
      </c>
      <c r="C65" s="332" t="s">
        <v>1165</v>
      </c>
      <c r="D65" s="332" t="s">
        <v>1081</v>
      </c>
      <c r="E65" s="338" t="s">
        <v>1082</v>
      </c>
      <c r="F65" s="344">
        <v>159.91097500000001</v>
      </c>
      <c r="G65" s="344">
        <v>151.01493300000001</v>
      </c>
      <c r="H65" s="344">
        <v>137.53793899999999</v>
      </c>
      <c r="I65" s="346">
        <v>130.995778</v>
      </c>
      <c r="J65" s="344">
        <v>159.90749</v>
      </c>
      <c r="K65" s="344">
        <v>151.02774500000001</v>
      </c>
      <c r="L65" s="344">
        <v>135.280058</v>
      </c>
      <c r="M65" s="344">
        <v>127.02986199999999</v>
      </c>
    </row>
    <row r="66" spans="1:13" ht="14.4">
      <c r="A66" s="335" t="s">
        <v>977</v>
      </c>
      <c r="B66" s="332" t="s">
        <v>1166</v>
      </c>
      <c r="C66" s="332" t="s">
        <v>1167</v>
      </c>
      <c r="D66" s="332" t="s">
        <v>1081</v>
      </c>
      <c r="E66" s="338" t="s">
        <v>456</v>
      </c>
      <c r="F66" s="344">
        <v>104.587002</v>
      </c>
      <c r="G66" s="344">
        <v>93.181656000000004</v>
      </c>
      <c r="H66" s="344">
        <v>74.287694999999999</v>
      </c>
      <c r="I66" s="346">
        <v>59.041992</v>
      </c>
      <c r="J66" s="344">
        <v>104.58374499999999</v>
      </c>
      <c r="K66" s="344">
        <v>92.644368</v>
      </c>
      <c r="L66" s="344">
        <v>71.649735000000007</v>
      </c>
      <c r="M66" s="344">
        <v>50.448103000000003</v>
      </c>
    </row>
    <row r="67" spans="1:13" ht="14.4">
      <c r="A67" s="335" t="s">
        <v>1168</v>
      </c>
      <c r="B67" s="332" t="s">
        <v>1157</v>
      </c>
      <c r="C67" s="332" t="s">
        <v>1158</v>
      </c>
      <c r="D67" s="332" t="s">
        <v>1081</v>
      </c>
      <c r="E67" s="338" t="s">
        <v>1086</v>
      </c>
      <c r="F67" s="344">
        <v>45.144232000000002</v>
      </c>
      <c r="G67" s="344">
        <v>38.032645000000002</v>
      </c>
      <c r="H67" s="344">
        <v>27.004653999999999</v>
      </c>
      <c r="I67" s="346">
        <v>21.901610000000002</v>
      </c>
      <c r="J67" s="344">
        <v>45.141525000000001</v>
      </c>
      <c r="K67" s="344">
        <v>37.919542999999997</v>
      </c>
      <c r="L67" s="344">
        <v>25.279029000000001</v>
      </c>
      <c r="M67" s="344">
        <v>18.382648</v>
      </c>
    </row>
    <row r="68" spans="1:13" ht="14.4">
      <c r="A68" s="335" t="s">
        <v>1169</v>
      </c>
      <c r="B68" s="332" t="s">
        <v>1157</v>
      </c>
      <c r="C68" s="332" t="s">
        <v>1158</v>
      </c>
      <c r="D68" s="332" t="s">
        <v>1081</v>
      </c>
      <c r="E68" s="338" t="s">
        <v>1086</v>
      </c>
      <c r="F68" s="344">
        <v>45.144232000000002</v>
      </c>
      <c r="G68" s="344">
        <v>38.032645000000002</v>
      </c>
      <c r="H68" s="344">
        <v>27.004653999999999</v>
      </c>
      <c r="I68" s="346">
        <v>21.901610000000002</v>
      </c>
      <c r="J68" s="344">
        <v>45.141525000000001</v>
      </c>
      <c r="K68" s="344">
        <v>37.919542999999997</v>
      </c>
      <c r="L68" s="344">
        <v>25.279029000000001</v>
      </c>
      <c r="M68" s="344">
        <v>18.382648</v>
      </c>
    </row>
    <row r="69" spans="1:13" ht="14.4">
      <c r="A69" s="335" t="s">
        <v>1170</v>
      </c>
      <c r="B69" s="332" t="s">
        <v>1160</v>
      </c>
      <c r="C69" s="332" t="s">
        <v>1161</v>
      </c>
      <c r="D69" s="332" t="s">
        <v>1081</v>
      </c>
      <c r="E69" s="338" t="s">
        <v>456</v>
      </c>
      <c r="F69" s="344">
        <v>1.2864409999999999</v>
      </c>
      <c r="G69" s="344">
        <v>1.0826100000000001</v>
      </c>
      <c r="H69" s="344">
        <v>0.78660300000000005</v>
      </c>
      <c r="I69" s="346">
        <v>0.641235</v>
      </c>
      <c r="J69" s="344">
        <v>1.2863640000000001</v>
      </c>
      <c r="K69" s="344">
        <v>1.08369</v>
      </c>
      <c r="L69" s="344">
        <v>0.73111800000000005</v>
      </c>
      <c r="M69" s="344">
        <v>0.56788499999999997</v>
      </c>
    </row>
    <row r="70" spans="1:13" ht="14.4">
      <c r="A70" s="335" t="s">
        <v>1171</v>
      </c>
      <c r="B70" s="332" t="s">
        <v>1157</v>
      </c>
      <c r="C70" s="332" t="s">
        <v>1158</v>
      </c>
      <c r="D70" s="332" t="s">
        <v>1081</v>
      </c>
      <c r="E70" s="338" t="s">
        <v>1086</v>
      </c>
      <c r="F70" s="344">
        <v>45.144232000000002</v>
      </c>
      <c r="G70" s="344">
        <v>38.032645000000002</v>
      </c>
      <c r="H70" s="344">
        <v>27.004653999999999</v>
      </c>
      <c r="I70" s="346">
        <v>21.901610000000002</v>
      </c>
      <c r="J70" s="344">
        <v>45.141525000000001</v>
      </c>
      <c r="K70" s="344">
        <v>37.919542999999997</v>
      </c>
      <c r="L70" s="344">
        <v>25.279029000000001</v>
      </c>
      <c r="M70" s="344">
        <v>18.382648</v>
      </c>
    </row>
    <row r="71" spans="1:13" ht="14.4">
      <c r="A71" s="335" t="s">
        <v>1172</v>
      </c>
      <c r="B71" s="332" t="s">
        <v>1166</v>
      </c>
      <c r="C71" s="332" t="s">
        <v>1167</v>
      </c>
      <c r="D71" s="332" t="s">
        <v>1081</v>
      </c>
      <c r="E71" s="338" t="s">
        <v>456</v>
      </c>
      <c r="F71" s="344">
        <v>104.587002</v>
      </c>
      <c r="G71" s="344">
        <v>93.181656000000004</v>
      </c>
      <c r="H71" s="344">
        <v>74.287694999999999</v>
      </c>
      <c r="I71" s="346">
        <v>59.041992</v>
      </c>
      <c r="J71" s="344">
        <v>104.58374499999999</v>
      </c>
      <c r="K71" s="344">
        <v>92.644368</v>
      </c>
      <c r="L71" s="344">
        <v>71.649735000000007</v>
      </c>
      <c r="M71" s="344">
        <v>50.448103000000003</v>
      </c>
    </row>
    <row r="72" spans="1:13" ht="14.4">
      <c r="A72" s="335" t="s">
        <v>1014</v>
      </c>
      <c r="B72" s="332" t="s">
        <v>1173</v>
      </c>
      <c r="C72" s="332" t="s">
        <v>1174</v>
      </c>
      <c r="D72" s="332" t="s">
        <v>1081</v>
      </c>
      <c r="E72" s="338" t="s">
        <v>1086</v>
      </c>
      <c r="F72" s="344">
        <v>579.19151299999999</v>
      </c>
      <c r="G72" s="344">
        <v>503.29717299999999</v>
      </c>
      <c r="H72" s="344">
        <v>388.31571600000001</v>
      </c>
      <c r="I72" s="346">
        <v>335.49101100000001</v>
      </c>
      <c r="J72" s="344">
        <v>579.12487599999997</v>
      </c>
      <c r="K72" s="344">
        <v>503.17839400000003</v>
      </c>
      <c r="L72" s="344">
        <v>376.64153199999998</v>
      </c>
      <c r="M72" s="344">
        <v>301.39478500000001</v>
      </c>
    </row>
    <row r="73" spans="1:13" ht="14.4">
      <c r="A73" s="335" t="s">
        <v>975</v>
      </c>
      <c r="B73" s="332" t="s">
        <v>1162</v>
      </c>
      <c r="C73" s="332" t="s">
        <v>1163</v>
      </c>
      <c r="D73" s="332" t="s">
        <v>1081</v>
      </c>
      <c r="E73" s="338" t="s">
        <v>456</v>
      </c>
      <c r="F73" s="344">
        <v>292.11593499999998</v>
      </c>
      <c r="G73" s="344">
        <v>240.12995799999999</v>
      </c>
      <c r="H73" s="344">
        <v>172.656721</v>
      </c>
      <c r="I73" s="346">
        <v>146.36406400000001</v>
      </c>
      <c r="J73" s="344">
        <v>292.10039599999999</v>
      </c>
      <c r="K73" s="344">
        <v>238.78958800000001</v>
      </c>
      <c r="L73" s="344">
        <v>161.80183299999999</v>
      </c>
      <c r="M73" s="344">
        <v>123.97705500000001</v>
      </c>
    </row>
    <row r="74" spans="1:13" ht="14.4">
      <c r="A74" s="335" t="s">
        <v>805</v>
      </c>
      <c r="B74" s="332" t="s">
        <v>1175</v>
      </c>
      <c r="C74" s="332" t="s">
        <v>1176</v>
      </c>
      <c r="D74" s="332" t="s">
        <v>1089</v>
      </c>
      <c r="E74" s="338" t="s">
        <v>1086</v>
      </c>
      <c r="F74" s="344">
        <v>1.421611</v>
      </c>
      <c r="G74" s="344">
        <v>1.273881</v>
      </c>
      <c r="H74" s="344">
        <v>1.0794820000000001</v>
      </c>
      <c r="I74" s="346">
        <v>0.98875599999999997</v>
      </c>
      <c r="J74" s="344">
        <v>1.4215359999999999</v>
      </c>
      <c r="K74" s="344">
        <v>1.275326</v>
      </c>
      <c r="L74" s="344">
        <v>1.052759</v>
      </c>
      <c r="M74" s="344">
        <v>0.95606999999999998</v>
      </c>
    </row>
    <row r="75" spans="1:13" ht="14.4">
      <c r="A75" s="335" t="s">
        <v>809</v>
      </c>
      <c r="B75" s="332" t="s">
        <v>1177</v>
      </c>
      <c r="C75" s="332" t="s">
        <v>1178</v>
      </c>
      <c r="D75" s="332" t="s">
        <v>1179</v>
      </c>
      <c r="E75" s="338" t="s">
        <v>456</v>
      </c>
      <c r="F75" s="344">
        <v>43032.020823999999</v>
      </c>
      <c r="G75" s="344">
        <v>36446.058401000002</v>
      </c>
      <c r="H75" s="344">
        <v>26696.479744</v>
      </c>
      <c r="I75" s="346">
        <v>21685.399233</v>
      </c>
      <c r="J75" s="344">
        <v>43028.335137000002</v>
      </c>
      <c r="K75" s="344">
        <v>36510.221712999999</v>
      </c>
      <c r="L75" s="344">
        <v>25695.905522000001</v>
      </c>
      <c r="M75" s="344">
        <v>20028.763477</v>
      </c>
    </row>
    <row r="76" spans="1:13" ht="14.4">
      <c r="A76" s="335" t="s">
        <v>939</v>
      </c>
      <c r="B76" s="332" t="s">
        <v>1180</v>
      </c>
      <c r="C76" s="332" t="s">
        <v>1180</v>
      </c>
      <c r="D76" s="332" t="s">
        <v>1081</v>
      </c>
      <c r="E76" s="338" t="s">
        <v>456</v>
      </c>
      <c r="F76" s="344">
        <v>1273.5988319999999</v>
      </c>
      <c r="G76" s="344">
        <v>938.12588000000005</v>
      </c>
      <c r="H76" s="344">
        <v>529.67293500000005</v>
      </c>
      <c r="I76" s="346">
        <v>400.06300700000003</v>
      </c>
      <c r="J76" s="344">
        <v>1273.55682</v>
      </c>
      <c r="K76" s="344">
        <v>944.30206199999998</v>
      </c>
      <c r="L76" s="344">
        <v>508.46186499999999</v>
      </c>
      <c r="M76" s="344">
        <v>376.995047</v>
      </c>
    </row>
    <row r="77" spans="1:13" ht="14.4">
      <c r="A77" s="335" t="s">
        <v>916</v>
      </c>
      <c r="B77" s="300"/>
      <c r="C77" s="300"/>
      <c r="D77" s="300"/>
      <c r="E77" s="300"/>
      <c r="F77" s="340"/>
      <c r="G77" s="340"/>
      <c r="H77" s="340"/>
      <c r="I77" s="340"/>
      <c r="J77" s="340"/>
      <c r="K77" s="340"/>
      <c r="L77" s="340"/>
      <c r="M77" s="340"/>
    </row>
    <row r="78" spans="1:13" ht="14.4">
      <c r="A78" s="335" t="s">
        <v>923</v>
      </c>
      <c r="B78" s="300"/>
      <c r="C78" s="300"/>
      <c r="D78" s="300"/>
      <c r="E78" s="300"/>
      <c r="F78" s="340"/>
      <c r="G78" s="340"/>
      <c r="H78" s="340"/>
      <c r="I78" s="340"/>
      <c r="J78" s="340"/>
      <c r="K78" s="340"/>
      <c r="L78" s="340"/>
      <c r="M78" s="340"/>
    </row>
    <row r="79" spans="1:13" ht="15.6">
      <c r="A79" s="359" t="s">
        <v>1181</v>
      </c>
      <c r="B79" s="300"/>
      <c r="C79" s="300"/>
      <c r="D79" s="300"/>
      <c r="E79" s="300"/>
      <c r="F79" s="340"/>
      <c r="G79" s="340"/>
      <c r="H79" s="340"/>
      <c r="I79" s="340"/>
      <c r="J79" s="340"/>
      <c r="K79" s="340"/>
      <c r="L79" s="340"/>
      <c r="M79" s="340"/>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14999847407452621"/>
    <outlinePr summaryBelow="0" summaryRight="0"/>
  </sheetPr>
  <dimension ref="A1:Z1000"/>
  <sheetViews>
    <sheetView zoomScale="70" zoomScaleNormal="70" workbookViewId="0">
      <selection activeCell="C7" sqref="C7"/>
    </sheetView>
  </sheetViews>
  <sheetFormatPr defaultColWidth="12.5546875" defaultRowHeight="15.6"/>
  <cols>
    <col min="1" max="1" width="40.5546875" style="24" bestFit="1" customWidth="1"/>
    <col min="2" max="2" width="135.44140625" style="47" bestFit="1" customWidth="1"/>
    <col min="3" max="3" width="31.5546875" style="47" customWidth="1"/>
    <col min="4" max="4" width="83.5546875" style="109" bestFit="1" customWidth="1"/>
    <col min="5" max="5" width="23.44140625" style="24" customWidth="1"/>
    <col min="6" max="6" width="12.5546875" style="18"/>
    <col min="7" max="26" width="12.5546875" style="24"/>
    <col min="27" max="16384" width="12.5546875" style="18"/>
  </cols>
  <sheetData>
    <row r="1" spans="1:26" s="45" customFormat="1">
      <c r="A1" s="49" t="s">
        <v>1182</v>
      </c>
      <c r="B1" s="50" t="s">
        <v>1183</v>
      </c>
      <c r="C1" s="50" t="s">
        <v>1184</v>
      </c>
      <c r="D1" s="108" t="s">
        <v>1185</v>
      </c>
      <c r="E1" s="49" t="s">
        <v>1186</v>
      </c>
      <c r="F1" s="49" t="s">
        <v>1187</v>
      </c>
      <c r="G1" s="49"/>
      <c r="H1" s="49"/>
      <c r="I1" s="49"/>
      <c r="J1" s="49"/>
      <c r="K1" s="49"/>
      <c r="L1" s="49"/>
      <c r="M1" s="49"/>
      <c r="N1" s="49"/>
      <c r="O1" s="49"/>
      <c r="P1" s="49"/>
      <c r="Q1" s="49"/>
      <c r="R1" s="49"/>
      <c r="S1" s="49"/>
      <c r="T1" s="49"/>
      <c r="U1" s="49"/>
      <c r="V1" s="49"/>
      <c r="W1" s="49"/>
      <c r="X1" s="49"/>
      <c r="Y1" s="49"/>
      <c r="Z1" s="49"/>
    </row>
    <row r="2" spans="1:26" s="45" customFormat="1">
      <c r="A2" s="49" t="s">
        <v>1188</v>
      </c>
      <c r="B2" s="50"/>
      <c r="C2" s="50"/>
      <c r="D2" s="108" t="s">
        <v>1189</v>
      </c>
      <c r="E2" s="49"/>
      <c r="F2" s="49"/>
      <c r="G2" s="49"/>
      <c r="H2" s="49"/>
      <c r="I2" s="49"/>
      <c r="J2" s="49"/>
      <c r="K2" s="49"/>
      <c r="L2" s="49"/>
      <c r="M2" s="49"/>
      <c r="N2" s="49"/>
      <c r="O2" s="49"/>
      <c r="P2" s="49"/>
      <c r="Q2" s="49"/>
      <c r="R2" s="49"/>
      <c r="S2" s="49"/>
      <c r="T2" s="49"/>
      <c r="U2" s="49"/>
      <c r="V2" s="49"/>
      <c r="W2" s="49"/>
      <c r="X2" s="49"/>
      <c r="Y2" s="49"/>
      <c r="Z2" s="49"/>
    </row>
    <row r="3" spans="1:26" ht="23.85" customHeight="1">
      <c r="A3" s="24" t="s">
        <v>1190</v>
      </c>
      <c r="B3" s="51" t="s">
        <v>1191</v>
      </c>
      <c r="C3" s="51" t="s">
        <v>1192</v>
      </c>
      <c r="D3" s="17" t="s">
        <v>36</v>
      </c>
      <c r="E3" s="102">
        <v>45175</v>
      </c>
      <c r="F3" s="23" t="b">
        <v>1</v>
      </c>
    </row>
    <row r="4" spans="1:26">
      <c r="A4" s="24" t="s">
        <v>1193</v>
      </c>
      <c r="B4" s="51" t="s">
        <v>1194</v>
      </c>
      <c r="C4" s="51" t="s">
        <v>474</v>
      </c>
      <c r="D4" s="109" t="s">
        <v>264</v>
      </c>
      <c r="F4" s="23" t="b">
        <v>1</v>
      </c>
    </row>
    <row r="5" spans="1:26">
      <c r="A5" s="24" t="s">
        <v>1195</v>
      </c>
      <c r="B5" s="51"/>
      <c r="C5" s="51" t="s">
        <v>1196</v>
      </c>
      <c r="D5" s="110" t="s">
        <v>1197</v>
      </c>
      <c r="F5" s="23" t="b">
        <v>1</v>
      </c>
    </row>
    <row r="6" spans="1:26">
      <c r="A6" s="24" t="s">
        <v>1198</v>
      </c>
      <c r="B6" s="51" t="s">
        <v>1194</v>
      </c>
      <c r="C6" s="51" t="s">
        <v>474</v>
      </c>
      <c r="D6" s="109" t="s">
        <v>264</v>
      </c>
      <c r="F6" s="23" t="b">
        <v>1</v>
      </c>
    </row>
    <row r="7" spans="1:26">
      <c r="A7" s="24" t="s">
        <v>1199</v>
      </c>
      <c r="B7" s="51" t="s">
        <v>1200</v>
      </c>
      <c r="C7" s="51" t="s">
        <v>1192</v>
      </c>
      <c r="D7" s="17" t="s">
        <v>36</v>
      </c>
      <c r="E7" s="102">
        <v>45803</v>
      </c>
      <c r="F7" s="23" t="b">
        <v>1</v>
      </c>
    </row>
    <row r="8" spans="1:26">
      <c r="A8" s="24" t="s">
        <v>516</v>
      </c>
      <c r="B8" s="51" t="s">
        <v>1201</v>
      </c>
      <c r="C8" s="51" t="s">
        <v>1196</v>
      </c>
      <c r="D8" s="17" t="s">
        <v>1202</v>
      </c>
      <c r="F8" s="23" t="b">
        <v>1</v>
      </c>
    </row>
    <row r="9" spans="1:26">
      <c r="A9" s="24" t="s">
        <v>1203</v>
      </c>
      <c r="B9" s="47" t="s">
        <v>1204</v>
      </c>
      <c r="C9" s="47" t="s">
        <v>474</v>
      </c>
      <c r="D9" s="109" t="s">
        <v>264</v>
      </c>
      <c r="F9" s="162" t="b">
        <v>1</v>
      </c>
    </row>
    <row r="10" spans="1:26">
      <c r="A10" s="24" t="s">
        <v>1205</v>
      </c>
      <c r="B10" s="47" t="s">
        <v>1206</v>
      </c>
      <c r="C10" s="51" t="s">
        <v>1196</v>
      </c>
      <c r="D10" s="17" t="s">
        <v>1207</v>
      </c>
      <c r="F10" s="23" t="b">
        <v>1</v>
      </c>
    </row>
    <row r="11" spans="1:26">
      <c r="A11" s="24" t="s">
        <v>1208</v>
      </c>
      <c r="B11" s="47" t="s">
        <v>1209</v>
      </c>
      <c r="C11" s="51" t="s">
        <v>1196</v>
      </c>
      <c r="D11" s="17" t="s">
        <v>1210</v>
      </c>
      <c r="F11" s="23" t="b">
        <v>1</v>
      </c>
    </row>
    <row r="12" spans="1:26">
      <c r="A12" s="24" t="s">
        <v>1211</v>
      </c>
      <c r="B12" s="51" t="s">
        <v>1212</v>
      </c>
      <c r="C12" s="51"/>
      <c r="D12" s="109" t="s">
        <v>264</v>
      </c>
      <c r="F12" s="23" t="b">
        <v>1</v>
      </c>
    </row>
    <row r="13" spans="1:26">
      <c r="A13" s="24" t="s">
        <v>1213</v>
      </c>
      <c r="B13" s="51" t="s">
        <v>1214</v>
      </c>
      <c r="C13" s="51"/>
      <c r="D13" s="109" t="s">
        <v>264</v>
      </c>
      <c r="F13" s="23" t="b">
        <v>1</v>
      </c>
    </row>
    <row r="14" spans="1:26">
      <c r="A14" s="24" t="s">
        <v>1215</v>
      </c>
      <c r="B14" s="51" t="s">
        <v>1216</v>
      </c>
      <c r="C14" s="106" t="s">
        <v>1192</v>
      </c>
      <c r="D14" s="17" t="s">
        <v>1217</v>
      </c>
      <c r="F14" s="23" t="b">
        <v>1</v>
      </c>
    </row>
    <row r="15" spans="1:26">
      <c r="A15" s="24" t="s">
        <v>1218</v>
      </c>
      <c r="B15" s="24" t="s">
        <v>1219</v>
      </c>
      <c r="C15" s="24"/>
      <c r="D15" s="109" t="s">
        <v>264</v>
      </c>
      <c r="F15" s="23" t="b">
        <v>1</v>
      </c>
    </row>
    <row r="16" spans="1:26">
      <c r="A16" s="24" t="s">
        <v>1220</v>
      </c>
      <c r="B16" s="24" t="s">
        <v>1221</v>
      </c>
      <c r="C16" s="106" t="s">
        <v>1192</v>
      </c>
      <c r="D16" s="17" t="s">
        <v>1222</v>
      </c>
      <c r="F16" s="23" t="b">
        <v>1</v>
      </c>
    </row>
    <row r="17" spans="1:6">
      <c r="A17" s="24" t="s">
        <v>1223</v>
      </c>
      <c r="B17" s="24" t="s">
        <v>1224</v>
      </c>
      <c r="C17" s="24" t="s">
        <v>1196</v>
      </c>
      <c r="D17" s="17" t="s">
        <v>1225</v>
      </c>
      <c r="F17" s="23" t="b">
        <v>1</v>
      </c>
    </row>
    <row r="18" spans="1:6">
      <c r="A18" s="24" t="s">
        <v>1226</v>
      </c>
      <c r="B18" s="24" t="s">
        <v>1227</v>
      </c>
      <c r="C18" s="24" t="s">
        <v>1196</v>
      </c>
      <c r="D18" s="17" t="s">
        <v>1228</v>
      </c>
      <c r="F18" s="23" t="b">
        <v>1</v>
      </c>
    </row>
    <row r="19" spans="1:6">
      <c r="A19" s="24" t="s">
        <v>1229</v>
      </c>
      <c r="B19" s="24" t="s">
        <v>1230</v>
      </c>
      <c r="C19" s="24" t="s">
        <v>1196</v>
      </c>
      <c r="D19" s="17" t="s">
        <v>1231</v>
      </c>
      <c r="F19" s="23" t="b">
        <v>1</v>
      </c>
    </row>
    <row r="20" spans="1:6">
      <c r="A20" s="24" t="s">
        <v>1232</v>
      </c>
      <c r="B20" s="24" t="s">
        <v>1233</v>
      </c>
      <c r="C20" s="24"/>
      <c r="D20" s="17" t="s">
        <v>1234</v>
      </c>
      <c r="E20" s="102">
        <v>45919</v>
      </c>
      <c r="F20" s="23" t="b">
        <v>1</v>
      </c>
    </row>
    <row r="21" spans="1:6">
      <c r="A21" s="24" t="s">
        <v>1235</v>
      </c>
      <c r="B21" s="24" t="s">
        <v>1236</v>
      </c>
      <c r="C21" s="24"/>
      <c r="D21" s="17" t="s">
        <v>264</v>
      </c>
      <c r="F21" s="23" t="b">
        <v>1</v>
      </c>
    </row>
    <row r="22" spans="1:6">
      <c r="A22" s="24" t="s">
        <v>1237</v>
      </c>
      <c r="B22" s="51" t="s">
        <v>1238</v>
      </c>
      <c r="C22" s="51" t="s">
        <v>1196</v>
      </c>
      <c r="D22" s="17" t="s">
        <v>1239</v>
      </c>
      <c r="F22" s="23" t="b">
        <v>1</v>
      </c>
    </row>
    <row r="23" spans="1:6" ht="31.2">
      <c r="A23" s="24" t="s">
        <v>1240</v>
      </c>
      <c r="B23" s="51" t="s">
        <v>1241</v>
      </c>
      <c r="C23" s="51" t="s">
        <v>1196</v>
      </c>
      <c r="D23" s="17" t="s">
        <v>1242</v>
      </c>
      <c r="F23" s="23" t="b">
        <v>1</v>
      </c>
    </row>
    <row r="24" spans="1:6" ht="46.8">
      <c r="A24" s="24" t="s">
        <v>1243</v>
      </c>
      <c r="B24" s="51" t="s">
        <v>1244</v>
      </c>
      <c r="C24" s="51"/>
      <c r="D24" s="17" t="s">
        <v>1245</v>
      </c>
      <c r="F24" s="23" t="b">
        <v>1</v>
      </c>
    </row>
    <row r="25" spans="1:6">
      <c r="A25" s="24" t="s">
        <v>1246</v>
      </c>
      <c r="C25" s="51"/>
      <c r="D25" s="17" t="s">
        <v>1247</v>
      </c>
      <c r="F25" s="23" t="b">
        <v>1</v>
      </c>
    </row>
    <row r="26" spans="1:6">
      <c r="A26" s="24" t="s">
        <v>1248</v>
      </c>
      <c r="B26" s="24" t="s">
        <v>1249</v>
      </c>
      <c r="C26" s="51" t="s">
        <v>1196</v>
      </c>
      <c r="D26" s="17" t="s">
        <v>1250</v>
      </c>
      <c r="F26" s="23" t="b">
        <v>1</v>
      </c>
    </row>
    <row r="27" spans="1:6">
      <c r="A27" s="24" t="s">
        <v>1251</v>
      </c>
      <c r="B27" s="24" t="s">
        <v>1252</v>
      </c>
      <c r="C27" s="51"/>
      <c r="D27" s="109" t="s">
        <v>264</v>
      </c>
      <c r="F27" s="24"/>
    </row>
    <row r="28" spans="1:6">
      <c r="A28" s="24" t="s">
        <v>1253</v>
      </c>
      <c r="B28" s="24" t="s">
        <v>1254</v>
      </c>
      <c r="C28" s="51" t="s">
        <v>1196</v>
      </c>
      <c r="D28" s="17" t="s">
        <v>1255</v>
      </c>
      <c r="F28" s="24"/>
    </row>
    <row r="29" spans="1:6">
      <c r="A29" s="24" t="s">
        <v>1256</v>
      </c>
      <c r="B29" s="24" t="s">
        <v>1257</v>
      </c>
      <c r="C29" s="51" t="s">
        <v>1196</v>
      </c>
      <c r="D29" s="17" t="s">
        <v>1258</v>
      </c>
      <c r="F29" s="24"/>
    </row>
    <row r="30" spans="1:6">
      <c r="A30" s="24" t="s">
        <v>1259</v>
      </c>
      <c r="B30" s="24" t="s">
        <v>1260</v>
      </c>
      <c r="C30" s="51" t="s">
        <v>1261</v>
      </c>
      <c r="D30" s="17" t="s">
        <v>1262</v>
      </c>
      <c r="F30" s="24"/>
    </row>
    <row r="31" spans="1:6">
      <c r="A31" s="24" t="s">
        <v>1263</v>
      </c>
      <c r="B31" s="24" t="s">
        <v>1264</v>
      </c>
      <c r="C31" s="51" t="s">
        <v>1196</v>
      </c>
      <c r="D31" s="17" t="s">
        <v>1265</v>
      </c>
      <c r="F31" s="24"/>
    </row>
    <row r="32" spans="1:6">
      <c r="A32" s="24" t="s">
        <v>1266</v>
      </c>
      <c r="B32" s="51" t="s">
        <v>1267</v>
      </c>
      <c r="C32" s="51" t="s">
        <v>1196</v>
      </c>
      <c r="D32" s="17" t="s">
        <v>1268</v>
      </c>
      <c r="F32" s="24"/>
    </row>
    <row r="33" spans="1:26">
      <c r="A33" s="24" t="s">
        <v>1269</v>
      </c>
      <c r="B33" s="51" t="s">
        <v>1270</v>
      </c>
      <c r="C33" s="51"/>
      <c r="D33" s="109" t="s">
        <v>264</v>
      </c>
      <c r="F33" s="24"/>
    </row>
    <row r="34" spans="1:26">
      <c r="A34" s="24" t="s">
        <v>1271</v>
      </c>
      <c r="B34" s="51" t="s">
        <v>1272</v>
      </c>
      <c r="C34" s="51" t="s">
        <v>1196</v>
      </c>
      <c r="D34" s="17" t="s">
        <v>1273</v>
      </c>
      <c r="F34" s="24"/>
    </row>
    <row r="35" spans="1:26">
      <c r="A35" s="24" t="s">
        <v>1274</v>
      </c>
      <c r="B35" s="51" t="s">
        <v>1275</v>
      </c>
      <c r="C35" s="51"/>
      <c r="F35" s="24"/>
    </row>
    <row r="36" spans="1:26">
      <c r="A36" s="24" t="s">
        <v>1276</v>
      </c>
      <c r="B36" s="51"/>
      <c r="C36" s="51"/>
      <c r="F36" s="24"/>
    </row>
    <row r="37" spans="1:26" s="159" customFormat="1" ht="30" customHeight="1">
      <c r="A37" s="150" t="s">
        <v>1277</v>
      </c>
      <c r="B37" s="240" t="s">
        <v>1278</v>
      </c>
      <c r="C37" s="240"/>
      <c r="D37" s="241" t="s">
        <v>1279</v>
      </c>
      <c r="E37" s="150"/>
      <c r="F37" s="150"/>
      <c r="G37" s="150"/>
      <c r="H37" s="150"/>
      <c r="I37" s="150"/>
      <c r="J37" s="150"/>
      <c r="K37" s="150"/>
      <c r="L37" s="150"/>
      <c r="M37" s="150"/>
      <c r="N37" s="150"/>
      <c r="O37" s="150"/>
      <c r="P37" s="150"/>
      <c r="Q37" s="150"/>
      <c r="R37" s="150"/>
      <c r="S37" s="150"/>
      <c r="T37" s="150"/>
      <c r="U37" s="150"/>
      <c r="V37" s="150"/>
      <c r="W37" s="150"/>
      <c r="X37" s="150"/>
      <c r="Y37" s="150"/>
      <c r="Z37" s="150"/>
    </row>
    <row r="38" spans="1:26">
      <c r="A38" s="24" t="s">
        <v>1280</v>
      </c>
      <c r="B38" t="s">
        <v>1281</v>
      </c>
      <c r="C38" s="51"/>
      <c r="F38" s="24"/>
    </row>
    <row r="39" spans="1:26">
      <c r="A39" s="24" t="s">
        <v>1282</v>
      </c>
      <c r="B39" s="51" t="s">
        <v>1283</v>
      </c>
      <c r="C39" s="51" t="s">
        <v>1196</v>
      </c>
      <c r="D39" s="17" t="s">
        <v>1284</v>
      </c>
      <c r="F39" s="24"/>
    </row>
    <row r="40" spans="1:26">
      <c r="A40" s="24" t="s">
        <v>1285</v>
      </c>
      <c r="B40" s="51" t="s">
        <v>1286</v>
      </c>
      <c r="C40" s="51" t="s">
        <v>8</v>
      </c>
      <c r="D40" s="17" t="s">
        <v>1287</v>
      </c>
      <c r="F40" s="24"/>
    </row>
    <row r="41" spans="1:26">
      <c r="A41" s="24" t="s">
        <v>1288</v>
      </c>
      <c r="B41" s="51" t="s">
        <v>1289</v>
      </c>
      <c r="C41" s="51" t="s">
        <v>8</v>
      </c>
      <c r="D41" s="17" t="s">
        <v>1290</v>
      </c>
      <c r="F41" s="24"/>
    </row>
    <row r="42" spans="1:26">
      <c r="A42" s="24" t="s">
        <v>1291</v>
      </c>
      <c r="B42" s="51" t="s">
        <v>1292</v>
      </c>
      <c r="C42" s="51" t="s">
        <v>8</v>
      </c>
      <c r="D42" s="17" t="s">
        <v>1293</v>
      </c>
      <c r="F42" s="24"/>
    </row>
    <row r="43" spans="1:26">
      <c r="A43" s="24" t="s">
        <v>1294</v>
      </c>
      <c r="B43" s="51" t="s">
        <v>1295</v>
      </c>
      <c r="C43" s="51"/>
      <c r="D43" s="109" t="s">
        <v>1296</v>
      </c>
      <c r="F43" s="24"/>
    </row>
    <row r="44" spans="1:26">
      <c r="A44" s="24" t="s">
        <v>1297</v>
      </c>
      <c r="B44" s="24" t="s">
        <v>1233</v>
      </c>
      <c r="C44" s="51"/>
      <c r="F44" s="24"/>
    </row>
    <row r="45" spans="1:26">
      <c r="B45" s="51"/>
      <c r="C45" s="51"/>
      <c r="F45" s="24"/>
    </row>
    <row r="46" spans="1:26">
      <c r="B46" s="51"/>
      <c r="C46" s="51"/>
      <c r="F46" s="24"/>
    </row>
    <row r="47" spans="1:26">
      <c r="B47" s="51"/>
      <c r="C47" s="51"/>
      <c r="F47" s="24"/>
    </row>
    <row r="48" spans="1:26">
      <c r="B48" s="51"/>
      <c r="C48" s="51"/>
      <c r="F48" s="24"/>
    </row>
    <row r="49" spans="2:6">
      <c r="B49" s="51"/>
      <c r="C49" s="51"/>
      <c r="F49" s="24"/>
    </row>
    <row r="50" spans="2:6">
      <c r="B50" s="51"/>
      <c r="C50" s="51"/>
      <c r="F50" s="24"/>
    </row>
    <row r="51" spans="2:6">
      <c r="B51" s="51"/>
      <c r="C51" s="51"/>
      <c r="F51" s="24"/>
    </row>
    <row r="52" spans="2:6">
      <c r="B52" s="51"/>
      <c r="C52" s="51"/>
      <c r="F52" s="24"/>
    </row>
    <row r="53" spans="2:6">
      <c r="B53" s="51"/>
      <c r="C53" s="51"/>
      <c r="F53" s="24"/>
    </row>
    <row r="54" spans="2:6">
      <c r="B54" s="51"/>
      <c r="C54" s="51"/>
      <c r="F54" s="24"/>
    </row>
    <row r="55" spans="2:6">
      <c r="B55" s="51"/>
      <c r="C55" s="51"/>
      <c r="F55" s="24"/>
    </row>
    <row r="56" spans="2:6">
      <c r="B56" s="51"/>
      <c r="C56" s="51"/>
      <c r="F56" s="24"/>
    </row>
    <row r="57" spans="2:6">
      <c r="B57" s="51"/>
      <c r="C57" s="51"/>
      <c r="F57" s="24"/>
    </row>
    <row r="58" spans="2:6">
      <c r="B58" s="51"/>
      <c r="C58" s="51"/>
      <c r="F58" s="24"/>
    </row>
    <row r="59" spans="2:6">
      <c r="B59" s="51"/>
      <c r="C59" s="51"/>
      <c r="F59" s="24"/>
    </row>
    <row r="60" spans="2:6">
      <c r="B60" s="51"/>
      <c r="C60" s="51"/>
      <c r="F60" s="24"/>
    </row>
    <row r="61" spans="2:6">
      <c r="B61" s="51"/>
      <c r="C61" s="51"/>
      <c r="F61" s="24"/>
    </row>
    <row r="62" spans="2:6">
      <c r="B62" s="51"/>
      <c r="C62" s="51"/>
      <c r="F62" s="24"/>
    </row>
    <row r="63" spans="2:6">
      <c r="B63" s="51"/>
      <c r="C63" s="51"/>
      <c r="F63" s="24"/>
    </row>
    <row r="64" spans="2:6">
      <c r="B64" s="51"/>
      <c r="C64" s="51"/>
      <c r="F64" s="24"/>
    </row>
    <row r="65" spans="2:6">
      <c r="B65" s="51"/>
      <c r="C65" s="51"/>
      <c r="F65" s="24"/>
    </row>
    <row r="66" spans="2:6">
      <c r="B66" s="51"/>
      <c r="C66" s="51"/>
      <c r="F66" s="24"/>
    </row>
    <row r="67" spans="2:6">
      <c r="B67" s="51"/>
      <c r="C67" s="51"/>
      <c r="F67" s="24"/>
    </row>
    <row r="68" spans="2:6">
      <c r="B68" s="51"/>
      <c r="C68" s="51"/>
      <c r="F68" s="24"/>
    </row>
    <row r="69" spans="2:6">
      <c r="B69" s="51"/>
      <c r="C69" s="51"/>
      <c r="F69" s="24"/>
    </row>
    <row r="70" spans="2:6">
      <c r="B70" s="51"/>
      <c r="C70" s="51"/>
      <c r="F70" s="24"/>
    </row>
    <row r="71" spans="2:6">
      <c r="B71" s="51"/>
      <c r="C71" s="51"/>
      <c r="F71" s="24"/>
    </row>
    <row r="72" spans="2:6">
      <c r="B72" s="51"/>
      <c r="C72" s="51"/>
      <c r="F72" s="24"/>
    </row>
    <row r="73" spans="2:6">
      <c r="B73" s="51"/>
      <c r="C73" s="51"/>
      <c r="F73" s="24"/>
    </row>
    <row r="74" spans="2:6">
      <c r="B74" s="51"/>
      <c r="C74" s="51"/>
      <c r="F74" s="24"/>
    </row>
    <row r="75" spans="2:6">
      <c r="B75" s="51"/>
      <c r="C75" s="51"/>
      <c r="F75" s="24"/>
    </row>
    <row r="76" spans="2:6">
      <c r="B76" s="51"/>
      <c r="C76" s="51"/>
      <c r="F76" s="24"/>
    </row>
    <row r="77" spans="2:6">
      <c r="B77" s="51"/>
      <c r="C77" s="51"/>
      <c r="F77" s="24"/>
    </row>
    <row r="78" spans="2:6">
      <c r="B78" s="51"/>
      <c r="C78" s="51"/>
      <c r="F78" s="24"/>
    </row>
    <row r="79" spans="2:6">
      <c r="B79" s="51"/>
      <c r="C79" s="51"/>
      <c r="F79" s="24"/>
    </row>
    <row r="80" spans="2:6">
      <c r="B80" s="51"/>
      <c r="C80" s="51"/>
      <c r="F80" s="24"/>
    </row>
    <row r="81" spans="2:6">
      <c r="B81" s="51"/>
      <c r="C81" s="51"/>
      <c r="F81" s="24"/>
    </row>
    <row r="82" spans="2:6">
      <c r="B82" s="51"/>
      <c r="C82" s="51"/>
      <c r="F82" s="24"/>
    </row>
    <row r="83" spans="2:6">
      <c r="B83" s="51"/>
      <c r="C83" s="51"/>
      <c r="F83" s="24"/>
    </row>
    <row r="84" spans="2:6">
      <c r="B84" s="51"/>
      <c r="C84" s="51"/>
      <c r="F84" s="24"/>
    </row>
    <row r="85" spans="2:6">
      <c r="B85" s="51"/>
      <c r="C85" s="51"/>
      <c r="F85" s="24"/>
    </row>
    <row r="86" spans="2:6">
      <c r="B86" s="51"/>
      <c r="C86" s="51"/>
      <c r="F86" s="24"/>
    </row>
    <row r="87" spans="2:6">
      <c r="B87" s="51"/>
      <c r="C87" s="51"/>
      <c r="F87" s="24"/>
    </row>
    <row r="88" spans="2:6">
      <c r="B88" s="51"/>
      <c r="C88" s="51"/>
      <c r="F88" s="24"/>
    </row>
    <row r="89" spans="2:6">
      <c r="B89" s="51"/>
      <c r="C89" s="51"/>
      <c r="F89" s="24"/>
    </row>
    <row r="90" spans="2:6">
      <c r="B90" s="51"/>
      <c r="C90" s="51"/>
      <c r="F90" s="24"/>
    </row>
    <row r="91" spans="2:6">
      <c r="B91" s="51"/>
      <c r="C91" s="51"/>
      <c r="F91" s="24"/>
    </row>
    <row r="92" spans="2:6">
      <c r="B92" s="51"/>
      <c r="C92" s="51"/>
      <c r="F92" s="24"/>
    </row>
    <row r="93" spans="2:6">
      <c r="B93" s="51"/>
      <c r="C93" s="51"/>
      <c r="F93" s="24"/>
    </row>
    <row r="94" spans="2:6">
      <c r="B94" s="51"/>
      <c r="C94" s="51"/>
      <c r="F94" s="24"/>
    </row>
    <row r="95" spans="2:6">
      <c r="B95" s="51"/>
      <c r="C95" s="51"/>
      <c r="F95" s="24"/>
    </row>
    <row r="96" spans="2:6">
      <c r="B96" s="51"/>
      <c r="C96" s="51"/>
      <c r="F96" s="24"/>
    </row>
    <row r="97" spans="2:6">
      <c r="B97" s="51"/>
      <c r="C97" s="51"/>
      <c r="F97" s="24"/>
    </row>
    <row r="98" spans="2:6">
      <c r="B98" s="51"/>
      <c r="C98" s="51"/>
      <c r="F98" s="24"/>
    </row>
    <row r="99" spans="2:6">
      <c r="B99" s="51"/>
      <c r="C99" s="51"/>
      <c r="F99" s="24"/>
    </row>
    <row r="100" spans="2:6">
      <c r="B100" s="51"/>
      <c r="C100" s="51"/>
      <c r="F100" s="24"/>
    </row>
    <row r="101" spans="2:6">
      <c r="B101" s="51"/>
      <c r="C101" s="51"/>
      <c r="F101" s="24"/>
    </row>
    <row r="102" spans="2:6">
      <c r="B102" s="51"/>
      <c r="C102" s="51"/>
      <c r="F102" s="24"/>
    </row>
    <row r="103" spans="2:6">
      <c r="B103" s="51"/>
      <c r="C103" s="51"/>
      <c r="F103" s="24"/>
    </row>
    <row r="104" spans="2:6">
      <c r="B104" s="51"/>
      <c r="C104" s="51"/>
      <c r="F104" s="24"/>
    </row>
    <row r="105" spans="2:6">
      <c r="B105" s="51"/>
      <c r="C105" s="51"/>
      <c r="F105" s="24"/>
    </row>
    <row r="106" spans="2:6">
      <c r="B106" s="51"/>
      <c r="C106" s="51"/>
      <c r="F106" s="24"/>
    </row>
    <row r="107" spans="2:6">
      <c r="B107" s="51"/>
      <c r="C107" s="51"/>
      <c r="F107" s="24"/>
    </row>
    <row r="108" spans="2:6">
      <c r="B108" s="51"/>
      <c r="C108" s="51"/>
      <c r="F108" s="24"/>
    </row>
    <row r="109" spans="2:6">
      <c r="B109" s="51"/>
      <c r="C109" s="51"/>
      <c r="F109" s="24"/>
    </row>
    <row r="110" spans="2:6">
      <c r="B110" s="51"/>
      <c r="C110" s="51"/>
      <c r="F110" s="24"/>
    </row>
    <row r="111" spans="2:6">
      <c r="B111" s="51"/>
      <c r="C111" s="51"/>
      <c r="F111" s="24"/>
    </row>
    <row r="112" spans="2:6">
      <c r="B112" s="51"/>
      <c r="C112" s="51"/>
      <c r="F112" s="24"/>
    </row>
    <row r="113" spans="2:6">
      <c r="B113" s="51"/>
      <c r="C113" s="51"/>
      <c r="F113" s="24"/>
    </row>
    <row r="114" spans="2:6">
      <c r="B114" s="51"/>
      <c r="C114" s="51"/>
      <c r="F114" s="24"/>
    </row>
    <row r="115" spans="2:6">
      <c r="B115" s="51"/>
      <c r="C115" s="51"/>
      <c r="F115" s="24"/>
    </row>
    <row r="116" spans="2:6">
      <c r="B116" s="51"/>
      <c r="C116" s="51"/>
      <c r="F116" s="24"/>
    </row>
    <row r="117" spans="2:6">
      <c r="B117" s="51"/>
      <c r="C117" s="51"/>
      <c r="F117" s="24"/>
    </row>
    <row r="118" spans="2:6">
      <c r="B118" s="51"/>
      <c r="C118" s="51"/>
      <c r="F118" s="24"/>
    </row>
    <row r="119" spans="2:6">
      <c r="B119" s="51"/>
      <c r="C119" s="51"/>
      <c r="F119" s="24"/>
    </row>
    <row r="120" spans="2:6">
      <c r="B120" s="51"/>
      <c r="C120" s="51"/>
      <c r="F120" s="24"/>
    </row>
    <row r="121" spans="2:6">
      <c r="B121" s="51"/>
      <c r="C121" s="51"/>
      <c r="F121" s="24"/>
    </row>
    <row r="122" spans="2:6">
      <c r="B122" s="51"/>
      <c r="C122" s="51"/>
      <c r="F122" s="24"/>
    </row>
    <row r="123" spans="2:6">
      <c r="B123" s="51"/>
      <c r="C123" s="51"/>
      <c r="F123" s="24"/>
    </row>
    <row r="124" spans="2:6">
      <c r="B124" s="51"/>
      <c r="C124" s="51"/>
      <c r="F124" s="24"/>
    </row>
    <row r="125" spans="2:6">
      <c r="B125" s="51"/>
      <c r="C125" s="51"/>
      <c r="F125" s="24"/>
    </row>
    <row r="126" spans="2:6">
      <c r="B126" s="51"/>
      <c r="C126" s="51"/>
      <c r="F126" s="24"/>
    </row>
    <row r="127" spans="2:6">
      <c r="B127" s="51"/>
      <c r="C127" s="51"/>
      <c r="F127" s="24"/>
    </row>
    <row r="128" spans="2:6">
      <c r="B128" s="51"/>
      <c r="C128" s="51"/>
      <c r="F128" s="24"/>
    </row>
    <row r="129" spans="2:6">
      <c r="B129" s="51"/>
      <c r="C129" s="51"/>
      <c r="F129" s="24"/>
    </row>
    <row r="130" spans="2:6">
      <c r="B130" s="51"/>
      <c r="C130" s="51"/>
      <c r="F130" s="24"/>
    </row>
    <row r="131" spans="2:6">
      <c r="B131" s="51"/>
      <c r="C131" s="51"/>
      <c r="F131" s="24"/>
    </row>
    <row r="132" spans="2:6">
      <c r="B132" s="51"/>
      <c r="C132" s="51"/>
      <c r="F132" s="24"/>
    </row>
    <row r="133" spans="2:6">
      <c r="B133" s="51"/>
      <c r="C133" s="51"/>
      <c r="F133" s="24"/>
    </row>
    <row r="134" spans="2:6">
      <c r="B134" s="51"/>
      <c r="C134" s="51"/>
      <c r="F134" s="24"/>
    </row>
    <row r="135" spans="2:6">
      <c r="B135" s="51"/>
      <c r="C135" s="51"/>
      <c r="F135" s="24"/>
    </row>
    <row r="136" spans="2:6">
      <c r="B136" s="51"/>
      <c r="C136" s="51"/>
      <c r="F136" s="24"/>
    </row>
    <row r="137" spans="2:6">
      <c r="B137" s="51"/>
      <c r="C137" s="51"/>
      <c r="F137" s="24"/>
    </row>
    <row r="138" spans="2:6">
      <c r="B138" s="51"/>
      <c r="C138" s="51"/>
      <c r="F138" s="24"/>
    </row>
    <row r="139" spans="2:6">
      <c r="B139" s="51"/>
      <c r="C139" s="51"/>
      <c r="F139" s="24"/>
    </row>
    <row r="140" spans="2:6">
      <c r="B140" s="51"/>
      <c r="C140" s="51"/>
      <c r="F140" s="24"/>
    </row>
    <row r="141" spans="2:6">
      <c r="B141" s="51"/>
      <c r="C141" s="51"/>
      <c r="F141" s="24"/>
    </row>
    <row r="142" spans="2:6">
      <c r="B142" s="51"/>
      <c r="C142" s="51"/>
      <c r="F142" s="24"/>
    </row>
    <row r="143" spans="2:6">
      <c r="B143" s="51"/>
      <c r="C143" s="51"/>
      <c r="F143" s="24"/>
    </row>
    <row r="144" spans="2:6">
      <c r="B144" s="51"/>
      <c r="C144" s="51"/>
      <c r="F144" s="24"/>
    </row>
    <row r="145" spans="2:6">
      <c r="B145" s="51"/>
      <c r="C145" s="51"/>
      <c r="F145" s="24"/>
    </row>
    <row r="146" spans="2:6">
      <c r="B146" s="51"/>
      <c r="C146" s="51"/>
      <c r="F146" s="24"/>
    </row>
    <row r="147" spans="2:6">
      <c r="B147" s="51"/>
      <c r="C147" s="51"/>
      <c r="F147" s="24"/>
    </row>
    <row r="148" spans="2:6">
      <c r="B148" s="51"/>
      <c r="C148" s="51"/>
      <c r="F148" s="24"/>
    </row>
    <row r="149" spans="2:6">
      <c r="B149" s="51"/>
      <c r="C149" s="51"/>
      <c r="F149" s="24"/>
    </row>
    <row r="150" spans="2:6">
      <c r="B150" s="51"/>
      <c r="C150" s="51"/>
      <c r="F150" s="24"/>
    </row>
    <row r="151" spans="2:6">
      <c r="B151" s="51"/>
      <c r="C151" s="51"/>
      <c r="F151" s="24"/>
    </row>
    <row r="152" spans="2:6">
      <c r="B152" s="51"/>
      <c r="C152" s="51"/>
      <c r="F152" s="24"/>
    </row>
    <row r="153" spans="2:6">
      <c r="B153" s="51"/>
      <c r="C153" s="51"/>
      <c r="F153" s="24"/>
    </row>
    <row r="154" spans="2:6">
      <c r="B154" s="51"/>
      <c r="C154" s="51"/>
      <c r="F154" s="24"/>
    </row>
    <row r="155" spans="2:6">
      <c r="B155" s="51"/>
      <c r="C155" s="51"/>
      <c r="F155" s="24"/>
    </row>
    <row r="156" spans="2:6">
      <c r="B156" s="51"/>
      <c r="C156" s="51"/>
      <c r="F156" s="24"/>
    </row>
    <row r="157" spans="2:6">
      <c r="B157" s="51"/>
      <c r="C157" s="51"/>
      <c r="F157" s="24"/>
    </row>
    <row r="158" spans="2:6">
      <c r="B158" s="51"/>
      <c r="C158" s="51"/>
      <c r="F158" s="24"/>
    </row>
    <row r="159" spans="2:6">
      <c r="B159" s="51"/>
      <c r="C159" s="51"/>
      <c r="F159" s="24"/>
    </row>
    <row r="160" spans="2:6">
      <c r="B160" s="51"/>
      <c r="C160" s="51"/>
      <c r="F160" s="24"/>
    </row>
    <row r="161" spans="2:6">
      <c r="B161" s="51"/>
      <c r="C161" s="51"/>
      <c r="F161" s="24"/>
    </row>
    <row r="162" spans="2:6">
      <c r="B162" s="51"/>
      <c r="C162" s="51"/>
      <c r="F162" s="24"/>
    </row>
    <row r="163" spans="2:6">
      <c r="B163" s="51"/>
      <c r="C163" s="51"/>
      <c r="F163" s="24"/>
    </row>
    <row r="164" spans="2:6">
      <c r="B164" s="51"/>
      <c r="C164" s="51"/>
      <c r="F164" s="24"/>
    </row>
    <row r="165" spans="2:6">
      <c r="B165" s="51"/>
      <c r="C165" s="51"/>
      <c r="F165" s="24"/>
    </row>
    <row r="166" spans="2:6">
      <c r="B166" s="51"/>
      <c r="C166" s="51"/>
      <c r="F166" s="24"/>
    </row>
    <row r="167" spans="2:6">
      <c r="B167" s="51"/>
      <c r="C167" s="51"/>
      <c r="F167" s="24"/>
    </row>
    <row r="168" spans="2:6">
      <c r="B168" s="51"/>
      <c r="C168" s="51"/>
      <c r="F168" s="24"/>
    </row>
    <row r="169" spans="2:6">
      <c r="B169" s="51"/>
      <c r="C169" s="51"/>
      <c r="F169" s="24"/>
    </row>
    <row r="170" spans="2:6">
      <c r="B170" s="51"/>
      <c r="C170" s="51"/>
      <c r="F170" s="24"/>
    </row>
    <row r="171" spans="2:6">
      <c r="B171" s="51"/>
      <c r="C171" s="51"/>
      <c r="F171" s="24"/>
    </row>
    <row r="172" spans="2:6">
      <c r="B172" s="51"/>
      <c r="C172" s="51"/>
      <c r="F172" s="24"/>
    </row>
    <row r="173" spans="2:6">
      <c r="B173" s="51"/>
      <c r="C173" s="51"/>
      <c r="F173" s="24"/>
    </row>
    <row r="174" spans="2:6">
      <c r="B174" s="51"/>
      <c r="C174" s="51"/>
      <c r="F174" s="24"/>
    </row>
    <row r="175" spans="2:6">
      <c r="B175" s="51"/>
      <c r="C175" s="51"/>
      <c r="F175" s="24"/>
    </row>
    <row r="176" spans="2:6">
      <c r="B176" s="51"/>
      <c r="C176" s="51"/>
      <c r="F176" s="24"/>
    </row>
    <row r="177" spans="2:6">
      <c r="B177" s="51"/>
      <c r="C177" s="51"/>
      <c r="F177" s="24"/>
    </row>
    <row r="178" spans="2:6">
      <c r="B178" s="51"/>
      <c r="C178" s="51"/>
      <c r="F178" s="24"/>
    </row>
    <row r="179" spans="2:6">
      <c r="B179" s="51"/>
      <c r="C179" s="51"/>
      <c r="F179" s="24"/>
    </row>
    <row r="180" spans="2:6">
      <c r="B180" s="51"/>
      <c r="C180" s="51"/>
      <c r="F180" s="24"/>
    </row>
    <row r="181" spans="2:6">
      <c r="B181" s="51"/>
      <c r="C181" s="51"/>
      <c r="F181" s="24"/>
    </row>
    <row r="182" spans="2:6">
      <c r="B182" s="51"/>
      <c r="C182" s="51"/>
      <c r="F182" s="24"/>
    </row>
    <row r="183" spans="2:6">
      <c r="B183" s="51"/>
      <c r="C183" s="51"/>
      <c r="F183" s="24"/>
    </row>
    <row r="184" spans="2:6">
      <c r="B184" s="51"/>
      <c r="C184" s="51"/>
      <c r="F184" s="24"/>
    </row>
    <row r="185" spans="2:6">
      <c r="B185" s="51"/>
      <c r="C185" s="51"/>
      <c r="F185" s="24"/>
    </row>
    <row r="186" spans="2:6">
      <c r="B186" s="51"/>
      <c r="C186" s="51"/>
      <c r="F186" s="24"/>
    </row>
    <row r="187" spans="2:6">
      <c r="B187" s="51"/>
      <c r="C187" s="51"/>
      <c r="F187" s="24"/>
    </row>
    <row r="188" spans="2:6">
      <c r="B188" s="51"/>
      <c r="C188" s="51"/>
      <c r="F188" s="24"/>
    </row>
    <row r="189" spans="2:6">
      <c r="B189" s="51"/>
      <c r="C189" s="51"/>
      <c r="F189" s="24"/>
    </row>
    <row r="190" spans="2:6">
      <c r="B190" s="51"/>
      <c r="C190" s="51"/>
      <c r="F190" s="24"/>
    </row>
    <row r="191" spans="2:6">
      <c r="B191" s="51"/>
      <c r="C191" s="51"/>
      <c r="F191" s="24"/>
    </row>
    <row r="192" spans="2:6">
      <c r="B192" s="51"/>
      <c r="C192" s="51"/>
      <c r="F192" s="24"/>
    </row>
    <row r="193" spans="2:6">
      <c r="B193" s="51"/>
      <c r="C193" s="51"/>
      <c r="F193" s="24"/>
    </row>
    <row r="194" spans="2:6">
      <c r="B194" s="51"/>
      <c r="C194" s="51"/>
      <c r="F194" s="24"/>
    </row>
    <row r="195" spans="2:6">
      <c r="B195" s="51"/>
      <c r="C195" s="51"/>
      <c r="F195" s="24"/>
    </row>
    <row r="196" spans="2:6">
      <c r="B196" s="51"/>
      <c r="C196" s="51"/>
      <c r="F196" s="24"/>
    </row>
    <row r="197" spans="2:6">
      <c r="B197" s="51"/>
      <c r="C197" s="51"/>
      <c r="F197" s="24"/>
    </row>
    <row r="198" spans="2:6">
      <c r="B198" s="51"/>
      <c r="C198" s="51"/>
      <c r="F198" s="24"/>
    </row>
    <row r="199" spans="2:6">
      <c r="B199" s="51"/>
      <c r="C199" s="51"/>
      <c r="F199" s="24"/>
    </row>
    <row r="200" spans="2:6">
      <c r="B200" s="51"/>
      <c r="C200" s="51"/>
      <c r="F200" s="24"/>
    </row>
    <row r="201" spans="2:6">
      <c r="B201" s="51"/>
      <c r="C201" s="51"/>
      <c r="F201" s="24"/>
    </row>
    <row r="202" spans="2:6">
      <c r="B202" s="51"/>
      <c r="C202" s="51"/>
      <c r="F202" s="24"/>
    </row>
    <row r="203" spans="2:6">
      <c r="B203" s="51"/>
      <c r="C203" s="51"/>
      <c r="F203" s="24"/>
    </row>
    <row r="204" spans="2:6">
      <c r="B204" s="51"/>
      <c r="C204" s="51"/>
      <c r="F204" s="24"/>
    </row>
    <row r="205" spans="2:6">
      <c r="B205" s="51"/>
      <c r="C205" s="51"/>
      <c r="F205" s="24"/>
    </row>
    <row r="206" spans="2:6">
      <c r="B206" s="51"/>
      <c r="C206" s="51"/>
      <c r="F206" s="24"/>
    </row>
    <row r="207" spans="2:6">
      <c r="B207" s="51"/>
      <c r="C207" s="51"/>
      <c r="F207" s="24"/>
    </row>
    <row r="208" spans="2:6">
      <c r="B208" s="51"/>
      <c r="C208" s="51"/>
      <c r="F208" s="24"/>
    </row>
    <row r="209" spans="2:6">
      <c r="B209" s="51"/>
      <c r="C209" s="51"/>
      <c r="F209" s="24"/>
    </row>
    <row r="210" spans="2:6">
      <c r="B210" s="51"/>
      <c r="C210" s="51"/>
      <c r="F210" s="24"/>
    </row>
    <row r="211" spans="2:6">
      <c r="B211" s="51"/>
      <c r="C211" s="51"/>
      <c r="F211" s="24"/>
    </row>
    <row r="212" spans="2:6">
      <c r="B212" s="51"/>
      <c r="C212" s="51"/>
      <c r="F212" s="24"/>
    </row>
    <row r="213" spans="2:6">
      <c r="B213" s="51"/>
      <c r="C213" s="51"/>
      <c r="F213" s="24"/>
    </row>
    <row r="214" spans="2:6">
      <c r="B214" s="51"/>
      <c r="C214" s="51"/>
      <c r="F214" s="24"/>
    </row>
    <row r="215" spans="2:6">
      <c r="B215" s="51"/>
      <c r="C215" s="51"/>
      <c r="F215" s="24"/>
    </row>
    <row r="216" spans="2:6">
      <c r="B216" s="51"/>
      <c r="C216" s="51"/>
      <c r="F216" s="24"/>
    </row>
    <row r="217" spans="2:6">
      <c r="B217" s="51"/>
      <c r="C217" s="51"/>
      <c r="F217" s="24"/>
    </row>
    <row r="218" spans="2:6">
      <c r="B218" s="51"/>
      <c r="C218" s="51"/>
      <c r="F218" s="24"/>
    </row>
    <row r="219" spans="2:6">
      <c r="B219" s="51"/>
      <c r="C219" s="51"/>
      <c r="F219" s="24"/>
    </row>
    <row r="220" spans="2:6">
      <c r="B220" s="51"/>
      <c r="C220" s="51"/>
      <c r="F220" s="24"/>
    </row>
    <row r="221" spans="2:6">
      <c r="B221" s="51"/>
      <c r="C221" s="51"/>
      <c r="F221" s="24"/>
    </row>
    <row r="222" spans="2:6">
      <c r="B222" s="51"/>
      <c r="C222" s="51"/>
      <c r="F222" s="24"/>
    </row>
    <row r="223" spans="2:6">
      <c r="B223" s="51"/>
      <c r="C223" s="51"/>
      <c r="F223" s="24"/>
    </row>
    <row r="224" spans="2:6">
      <c r="B224" s="51"/>
      <c r="C224" s="51"/>
      <c r="F224" s="24"/>
    </row>
    <row r="225" spans="2:6">
      <c r="B225" s="51"/>
      <c r="C225" s="51"/>
      <c r="F225" s="24"/>
    </row>
    <row r="226" spans="2:6">
      <c r="B226" s="51"/>
      <c r="C226" s="51"/>
      <c r="F226" s="24"/>
    </row>
    <row r="227" spans="2:6">
      <c r="B227" s="51"/>
      <c r="C227" s="51"/>
      <c r="F227" s="24"/>
    </row>
    <row r="228" spans="2:6">
      <c r="B228" s="51"/>
      <c r="C228" s="51"/>
      <c r="F228" s="24"/>
    </row>
    <row r="229" spans="2:6">
      <c r="B229" s="51"/>
      <c r="C229" s="51"/>
      <c r="F229" s="24"/>
    </row>
    <row r="230" spans="2:6">
      <c r="B230" s="51"/>
      <c r="C230" s="51"/>
      <c r="F230" s="24"/>
    </row>
    <row r="231" spans="2:6">
      <c r="B231" s="51"/>
      <c r="C231" s="51"/>
      <c r="F231" s="24"/>
    </row>
    <row r="232" spans="2:6">
      <c r="B232" s="51"/>
      <c r="C232" s="51"/>
      <c r="F232" s="24"/>
    </row>
    <row r="233" spans="2:6">
      <c r="B233" s="51"/>
      <c r="C233" s="51"/>
      <c r="F233" s="24"/>
    </row>
    <row r="234" spans="2:6">
      <c r="B234" s="51"/>
      <c r="C234" s="51"/>
      <c r="F234" s="24"/>
    </row>
    <row r="235" spans="2:6">
      <c r="B235" s="51"/>
      <c r="C235" s="51"/>
      <c r="F235" s="24"/>
    </row>
    <row r="236" spans="2:6">
      <c r="B236" s="51"/>
      <c r="C236" s="51"/>
      <c r="F236" s="24"/>
    </row>
    <row r="237" spans="2:6">
      <c r="B237" s="51"/>
      <c r="C237" s="51"/>
      <c r="F237" s="24"/>
    </row>
    <row r="238" spans="2:6">
      <c r="B238" s="51"/>
      <c r="C238" s="51"/>
      <c r="F238" s="24"/>
    </row>
    <row r="239" spans="2:6">
      <c r="B239" s="51"/>
      <c r="C239" s="51"/>
      <c r="F239" s="24"/>
    </row>
    <row r="240" spans="2:6">
      <c r="B240" s="51"/>
      <c r="C240" s="51"/>
      <c r="F240" s="24"/>
    </row>
    <row r="241" spans="2:6">
      <c r="B241" s="51"/>
      <c r="C241" s="51"/>
      <c r="F241" s="24"/>
    </row>
    <row r="242" spans="2:6">
      <c r="B242" s="51"/>
      <c r="C242" s="51"/>
      <c r="F242" s="24"/>
    </row>
    <row r="243" spans="2:6">
      <c r="B243" s="51"/>
      <c r="C243" s="51"/>
      <c r="F243" s="24"/>
    </row>
    <row r="244" spans="2:6">
      <c r="B244" s="51"/>
      <c r="C244" s="51"/>
      <c r="F244" s="24"/>
    </row>
    <row r="245" spans="2:6">
      <c r="B245" s="51"/>
      <c r="C245" s="51"/>
      <c r="F245" s="24"/>
    </row>
    <row r="246" spans="2:6">
      <c r="B246" s="51"/>
      <c r="C246" s="51"/>
      <c r="F246" s="24"/>
    </row>
    <row r="247" spans="2:6">
      <c r="B247" s="51"/>
      <c r="C247" s="51"/>
      <c r="F247" s="24"/>
    </row>
    <row r="248" spans="2:6">
      <c r="B248" s="51"/>
      <c r="C248" s="51"/>
      <c r="F248" s="24"/>
    </row>
    <row r="249" spans="2:6">
      <c r="B249" s="51"/>
      <c r="C249" s="51"/>
      <c r="F249" s="24"/>
    </row>
    <row r="250" spans="2:6">
      <c r="B250" s="51"/>
      <c r="C250" s="51"/>
      <c r="F250" s="24"/>
    </row>
    <row r="251" spans="2:6">
      <c r="B251" s="51"/>
      <c r="C251" s="51"/>
      <c r="F251" s="24"/>
    </row>
    <row r="252" spans="2:6">
      <c r="B252" s="51"/>
      <c r="C252" s="51"/>
      <c r="F252" s="24"/>
    </row>
    <row r="253" spans="2:6">
      <c r="B253" s="51"/>
      <c r="C253" s="51"/>
      <c r="F253" s="24"/>
    </row>
    <row r="254" spans="2:6">
      <c r="B254" s="51"/>
      <c r="C254" s="51"/>
      <c r="F254" s="24"/>
    </row>
    <row r="255" spans="2:6">
      <c r="B255" s="51"/>
      <c r="C255" s="51"/>
      <c r="F255" s="24"/>
    </row>
    <row r="256" spans="2:6">
      <c r="B256" s="51"/>
      <c r="C256" s="51"/>
      <c r="F256" s="24"/>
    </row>
    <row r="257" spans="2:6">
      <c r="B257" s="51"/>
      <c r="C257" s="51"/>
      <c r="F257" s="24"/>
    </row>
    <row r="258" spans="2:6">
      <c r="B258" s="51"/>
      <c r="C258" s="51"/>
      <c r="F258" s="24"/>
    </row>
    <row r="259" spans="2:6">
      <c r="B259" s="51"/>
      <c r="C259" s="51"/>
      <c r="F259" s="24"/>
    </row>
    <row r="260" spans="2:6">
      <c r="B260" s="51"/>
      <c r="C260" s="51"/>
      <c r="F260" s="24"/>
    </row>
    <row r="261" spans="2:6">
      <c r="B261" s="51"/>
      <c r="C261" s="51"/>
      <c r="F261" s="24"/>
    </row>
    <row r="262" spans="2:6">
      <c r="B262" s="51"/>
      <c r="C262" s="51"/>
      <c r="F262" s="24"/>
    </row>
    <row r="263" spans="2:6">
      <c r="B263" s="51"/>
      <c r="C263" s="51"/>
      <c r="F263" s="24"/>
    </row>
    <row r="264" spans="2:6">
      <c r="B264" s="51"/>
      <c r="C264" s="51"/>
      <c r="F264" s="24"/>
    </row>
    <row r="265" spans="2:6">
      <c r="B265" s="51"/>
      <c r="C265" s="51"/>
      <c r="F265" s="24"/>
    </row>
    <row r="266" spans="2:6">
      <c r="B266" s="51"/>
      <c r="C266" s="51"/>
      <c r="F266" s="24"/>
    </row>
    <row r="267" spans="2:6">
      <c r="B267" s="51"/>
      <c r="C267" s="51"/>
      <c r="F267" s="24"/>
    </row>
    <row r="268" spans="2:6">
      <c r="B268" s="51"/>
      <c r="C268" s="51"/>
      <c r="F268" s="24"/>
    </row>
    <row r="269" spans="2:6">
      <c r="B269" s="51"/>
      <c r="C269" s="51"/>
      <c r="F269" s="24"/>
    </row>
    <row r="270" spans="2:6">
      <c r="B270" s="51"/>
      <c r="C270" s="51"/>
      <c r="F270" s="24"/>
    </row>
    <row r="271" spans="2:6">
      <c r="B271" s="51"/>
      <c r="C271" s="51"/>
      <c r="F271" s="24"/>
    </row>
    <row r="272" spans="2:6">
      <c r="B272" s="51"/>
      <c r="C272" s="51"/>
      <c r="F272" s="24"/>
    </row>
    <row r="273" spans="2:6">
      <c r="B273" s="51"/>
      <c r="C273" s="51"/>
      <c r="F273" s="24"/>
    </row>
    <row r="274" spans="2:6">
      <c r="B274" s="51"/>
      <c r="C274" s="51"/>
      <c r="F274" s="24"/>
    </row>
    <row r="275" spans="2:6">
      <c r="B275" s="51"/>
      <c r="C275" s="51"/>
      <c r="F275" s="24"/>
    </row>
    <row r="276" spans="2:6">
      <c r="B276" s="51"/>
      <c r="C276" s="51"/>
      <c r="F276" s="24"/>
    </row>
    <row r="277" spans="2:6">
      <c r="B277" s="51"/>
      <c r="C277" s="51"/>
      <c r="F277" s="24"/>
    </row>
    <row r="278" spans="2:6">
      <c r="B278" s="51"/>
      <c r="C278" s="51"/>
      <c r="F278" s="24"/>
    </row>
    <row r="279" spans="2:6">
      <c r="B279" s="51"/>
      <c r="C279" s="51"/>
      <c r="F279" s="24"/>
    </row>
    <row r="280" spans="2:6">
      <c r="B280" s="51"/>
      <c r="C280" s="51"/>
      <c r="F280" s="24"/>
    </row>
    <row r="281" spans="2:6">
      <c r="B281" s="51"/>
      <c r="C281" s="51"/>
      <c r="F281" s="24"/>
    </row>
    <row r="282" spans="2:6">
      <c r="B282" s="51"/>
      <c r="C282" s="51"/>
      <c r="F282" s="24"/>
    </row>
    <row r="283" spans="2:6">
      <c r="B283" s="51"/>
      <c r="C283" s="51"/>
      <c r="F283" s="24"/>
    </row>
    <row r="284" spans="2:6">
      <c r="B284" s="51"/>
      <c r="C284" s="51"/>
      <c r="F284" s="24"/>
    </row>
    <row r="285" spans="2:6">
      <c r="B285" s="51"/>
      <c r="C285" s="51"/>
      <c r="F285" s="24"/>
    </row>
    <row r="286" spans="2:6">
      <c r="B286" s="51"/>
      <c r="C286" s="51"/>
      <c r="F286" s="24"/>
    </row>
    <row r="287" spans="2:6">
      <c r="B287" s="51"/>
      <c r="C287" s="51"/>
      <c r="F287" s="24"/>
    </row>
    <row r="288" spans="2:6">
      <c r="B288" s="51"/>
      <c r="C288" s="51"/>
      <c r="F288" s="24"/>
    </row>
    <row r="289" spans="2:6">
      <c r="B289" s="51"/>
      <c r="C289" s="51"/>
      <c r="F289" s="24"/>
    </row>
    <row r="290" spans="2:6">
      <c r="B290" s="51"/>
      <c r="C290" s="51"/>
      <c r="F290" s="24"/>
    </row>
    <row r="291" spans="2:6">
      <c r="B291" s="51"/>
      <c r="C291" s="51"/>
      <c r="F291" s="24"/>
    </row>
    <row r="292" spans="2:6">
      <c r="B292" s="51"/>
      <c r="C292" s="51"/>
      <c r="F292" s="24"/>
    </row>
    <row r="293" spans="2:6">
      <c r="B293" s="51"/>
      <c r="C293" s="51"/>
      <c r="F293" s="24"/>
    </row>
    <row r="294" spans="2:6">
      <c r="B294" s="51"/>
      <c r="C294" s="51"/>
      <c r="F294" s="24"/>
    </row>
    <row r="295" spans="2:6">
      <c r="B295" s="51"/>
      <c r="C295" s="51"/>
      <c r="F295" s="24"/>
    </row>
    <row r="296" spans="2:6">
      <c r="B296" s="51"/>
      <c r="C296" s="51"/>
      <c r="F296" s="24"/>
    </row>
    <row r="297" spans="2:6">
      <c r="B297" s="51"/>
      <c r="C297" s="51"/>
      <c r="F297" s="24"/>
    </row>
    <row r="298" spans="2:6">
      <c r="B298" s="51"/>
      <c r="C298" s="51"/>
      <c r="F298" s="24"/>
    </row>
    <row r="299" spans="2:6">
      <c r="B299" s="51"/>
      <c r="C299" s="51"/>
      <c r="F299" s="24"/>
    </row>
    <row r="300" spans="2:6">
      <c r="B300" s="51"/>
      <c r="C300" s="51"/>
      <c r="F300" s="24"/>
    </row>
    <row r="301" spans="2:6">
      <c r="B301" s="51"/>
      <c r="C301" s="51"/>
      <c r="F301" s="24"/>
    </row>
    <row r="302" spans="2:6">
      <c r="B302" s="51"/>
      <c r="C302" s="51"/>
      <c r="F302" s="24"/>
    </row>
    <row r="303" spans="2:6">
      <c r="B303" s="51"/>
      <c r="C303" s="51"/>
      <c r="F303" s="24"/>
    </row>
    <row r="304" spans="2:6">
      <c r="B304" s="51"/>
      <c r="C304" s="51"/>
      <c r="F304" s="24"/>
    </row>
    <row r="305" spans="2:6">
      <c r="B305" s="51"/>
      <c r="C305" s="51"/>
      <c r="F305" s="24"/>
    </row>
    <row r="306" spans="2:6">
      <c r="B306" s="51"/>
      <c r="C306" s="51"/>
      <c r="F306" s="24"/>
    </row>
    <row r="307" spans="2:6">
      <c r="B307" s="51"/>
      <c r="C307" s="51"/>
      <c r="F307" s="24"/>
    </row>
    <row r="308" spans="2:6">
      <c r="B308" s="51"/>
      <c r="C308" s="51"/>
      <c r="F308" s="24"/>
    </row>
    <row r="309" spans="2:6">
      <c r="B309" s="51"/>
      <c r="C309" s="51"/>
      <c r="F309" s="24"/>
    </row>
    <row r="310" spans="2:6">
      <c r="B310" s="51"/>
      <c r="C310" s="51"/>
      <c r="F310" s="24"/>
    </row>
    <row r="311" spans="2:6">
      <c r="B311" s="51"/>
      <c r="C311" s="51"/>
      <c r="F311" s="24"/>
    </row>
    <row r="312" spans="2:6">
      <c r="B312" s="51"/>
      <c r="C312" s="51"/>
      <c r="F312" s="24"/>
    </row>
    <row r="313" spans="2:6">
      <c r="B313" s="51"/>
      <c r="C313" s="51"/>
      <c r="F313" s="24"/>
    </row>
    <row r="314" spans="2:6">
      <c r="B314" s="51"/>
      <c r="C314" s="51"/>
      <c r="F314" s="24"/>
    </row>
    <row r="315" spans="2:6">
      <c r="B315" s="51"/>
      <c r="C315" s="51"/>
      <c r="F315" s="24"/>
    </row>
    <row r="316" spans="2:6">
      <c r="B316" s="51"/>
      <c r="C316" s="51"/>
      <c r="F316" s="24"/>
    </row>
    <row r="317" spans="2:6">
      <c r="B317" s="51"/>
      <c r="C317" s="51"/>
      <c r="F317" s="24"/>
    </row>
    <row r="318" spans="2:6">
      <c r="B318" s="51"/>
      <c r="C318" s="51"/>
      <c r="F318" s="24"/>
    </row>
    <row r="319" spans="2:6">
      <c r="B319" s="51"/>
      <c r="C319" s="51"/>
      <c r="F319" s="24"/>
    </row>
    <row r="320" spans="2:6">
      <c r="B320" s="51"/>
      <c r="C320" s="51"/>
      <c r="F320" s="24"/>
    </row>
    <row r="321" spans="2:6">
      <c r="B321" s="51"/>
      <c r="C321" s="51"/>
      <c r="F321" s="24"/>
    </row>
    <row r="322" spans="2:6">
      <c r="B322" s="51"/>
      <c r="C322" s="51"/>
      <c r="F322" s="24"/>
    </row>
    <row r="323" spans="2:6">
      <c r="B323" s="51"/>
      <c r="C323" s="51"/>
      <c r="F323" s="24"/>
    </row>
    <row r="324" spans="2:6">
      <c r="B324" s="51"/>
      <c r="C324" s="51"/>
      <c r="F324" s="24"/>
    </row>
    <row r="325" spans="2:6">
      <c r="B325" s="51"/>
      <c r="C325" s="51"/>
      <c r="F325" s="24"/>
    </row>
    <row r="326" spans="2:6">
      <c r="B326" s="51"/>
      <c r="C326" s="51"/>
      <c r="F326" s="24"/>
    </row>
    <row r="327" spans="2:6">
      <c r="B327" s="51"/>
      <c r="C327" s="51"/>
      <c r="F327" s="24"/>
    </row>
    <row r="328" spans="2:6">
      <c r="B328" s="51"/>
      <c r="C328" s="51"/>
      <c r="F328" s="24"/>
    </row>
    <row r="329" spans="2:6">
      <c r="B329" s="51"/>
      <c r="C329" s="51"/>
      <c r="F329" s="24"/>
    </row>
    <row r="330" spans="2:6">
      <c r="B330" s="51"/>
      <c r="C330" s="51"/>
      <c r="F330" s="24"/>
    </row>
    <row r="331" spans="2:6">
      <c r="B331" s="51"/>
      <c r="C331" s="51"/>
      <c r="F331" s="24"/>
    </row>
    <row r="332" spans="2:6">
      <c r="B332" s="51"/>
      <c r="C332" s="51"/>
      <c r="F332" s="24"/>
    </row>
    <row r="333" spans="2:6">
      <c r="B333" s="51"/>
      <c r="C333" s="51"/>
      <c r="F333" s="24"/>
    </row>
    <row r="334" spans="2:6">
      <c r="B334" s="51"/>
      <c r="C334" s="51"/>
      <c r="F334" s="24"/>
    </row>
    <row r="335" spans="2:6">
      <c r="B335" s="51"/>
      <c r="C335" s="51"/>
      <c r="F335" s="24"/>
    </row>
    <row r="336" spans="2:6">
      <c r="B336" s="51"/>
      <c r="C336" s="51"/>
      <c r="F336" s="24"/>
    </row>
    <row r="337" spans="2:6">
      <c r="B337" s="51"/>
      <c r="C337" s="51"/>
      <c r="F337" s="24"/>
    </row>
    <row r="338" spans="2:6">
      <c r="B338" s="51"/>
      <c r="C338" s="51"/>
      <c r="F338" s="24"/>
    </row>
    <row r="339" spans="2:6">
      <c r="B339" s="51"/>
      <c r="C339" s="51"/>
      <c r="F339" s="24"/>
    </row>
    <row r="340" spans="2:6">
      <c r="B340" s="51"/>
      <c r="C340" s="51"/>
      <c r="F340" s="24"/>
    </row>
    <row r="341" spans="2:6">
      <c r="B341" s="51"/>
      <c r="C341" s="51"/>
      <c r="F341" s="24"/>
    </row>
    <row r="342" spans="2:6">
      <c r="B342" s="51"/>
      <c r="C342" s="51"/>
      <c r="F342" s="24"/>
    </row>
    <row r="343" spans="2:6">
      <c r="B343" s="51"/>
      <c r="C343" s="51"/>
      <c r="F343" s="24"/>
    </row>
    <row r="344" spans="2:6">
      <c r="B344" s="51"/>
      <c r="C344" s="51"/>
      <c r="F344" s="24"/>
    </row>
    <row r="345" spans="2:6">
      <c r="B345" s="51"/>
      <c r="C345" s="51"/>
      <c r="F345" s="24"/>
    </row>
    <row r="346" spans="2:6">
      <c r="B346" s="51"/>
      <c r="C346" s="51"/>
      <c r="F346" s="24"/>
    </row>
    <row r="347" spans="2:6">
      <c r="B347" s="51"/>
      <c r="C347" s="51"/>
      <c r="F347" s="24"/>
    </row>
    <row r="348" spans="2:6">
      <c r="B348" s="51"/>
      <c r="C348" s="51"/>
      <c r="F348" s="24"/>
    </row>
    <row r="349" spans="2:6">
      <c r="B349" s="51"/>
      <c r="C349" s="51"/>
      <c r="F349" s="24"/>
    </row>
    <row r="350" spans="2:6">
      <c r="B350" s="51"/>
      <c r="C350" s="51"/>
      <c r="F350" s="24"/>
    </row>
    <row r="351" spans="2:6">
      <c r="B351" s="51"/>
      <c r="C351" s="51"/>
      <c r="F351" s="24"/>
    </row>
    <row r="352" spans="2:6">
      <c r="B352" s="51"/>
      <c r="C352" s="51"/>
      <c r="F352" s="24"/>
    </row>
    <row r="353" spans="2:6">
      <c r="B353" s="51"/>
      <c r="C353" s="51"/>
      <c r="F353" s="24"/>
    </row>
    <row r="354" spans="2:6">
      <c r="B354" s="51"/>
      <c r="C354" s="51"/>
      <c r="F354" s="24"/>
    </row>
    <row r="355" spans="2:6">
      <c r="B355" s="51"/>
      <c r="C355" s="51"/>
      <c r="F355" s="24"/>
    </row>
    <row r="356" spans="2:6">
      <c r="B356" s="51"/>
      <c r="C356" s="51"/>
      <c r="F356" s="24"/>
    </row>
    <row r="357" spans="2:6">
      <c r="B357" s="51"/>
      <c r="C357" s="51"/>
      <c r="F357" s="24"/>
    </row>
    <row r="358" spans="2:6">
      <c r="B358" s="51"/>
      <c r="C358" s="51"/>
      <c r="F358" s="24"/>
    </row>
    <row r="359" spans="2:6">
      <c r="B359" s="51"/>
      <c r="C359" s="51"/>
      <c r="F359" s="24"/>
    </row>
    <row r="360" spans="2:6">
      <c r="B360" s="51"/>
      <c r="C360" s="51"/>
      <c r="F360" s="24"/>
    </row>
    <row r="361" spans="2:6">
      <c r="B361" s="51"/>
      <c r="C361" s="51"/>
      <c r="F361" s="24"/>
    </row>
    <row r="362" spans="2:6">
      <c r="B362" s="51"/>
      <c r="C362" s="51"/>
      <c r="F362" s="24"/>
    </row>
    <row r="363" spans="2:6">
      <c r="B363" s="51"/>
      <c r="C363" s="51"/>
      <c r="F363" s="24"/>
    </row>
    <row r="364" spans="2:6">
      <c r="B364" s="51"/>
      <c r="C364" s="51"/>
      <c r="F364" s="24"/>
    </row>
    <row r="365" spans="2:6">
      <c r="B365" s="51"/>
      <c r="C365" s="51"/>
      <c r="F365" s="24"/>
    </row>
    <row r="366" spans="2:6">
      <c r="B366" s="51"/>
      <c r="C366" s="51"/>
      <c r="F366" s="24"/>
    </row>
    <row r="367" spans="2:6">
      <c r="B367" s="51"/>
      <c r="C367" s="51"/>
      <c r="F367" s="24"/>
    </row>
    <row r="368" spans="2:6">
      <c r="B368" s="51"/>
      <c r="C368" s="51"/>
      <c r="F368" s="24"/>
    </row>
    <row r="369" spans="2:6">
      <c r="B369" s="51"/>
      <c r="C369" s="51"/>
      <c r="F369" s="24"/>
    </row>
    <row r="370" spans="2:6">
      <c r="B370" s="51"/>
      <c r="C370" s="51"/>
      <c r="F370" s="24"/>
    </row>
    <row r="371" spans="2:6">
      <c r="B371" s="51"/>
      <c r="C371" s="51"/>
      <c r="F371" s="24"/>
    </row>
    <row r="372" spans="2:6">
      <c r="B372" s="51"/>
      <c r="C372" s="51"/>
      <c r="F372" s="24"/>
    </row>
    <row r="373" spans="2:6">
      <c r="B373" s="51"/>
      <c r="C373" s="51"/>
      <c r="F373" s="24"/>
    </row>
    <row r="374" spans="2:6">
      <c r="B374" s="51"/>
      <c r="C374" s="51"/>
      <c r="F374" s="24"/>
    </row>
    <row r="375" spans="2:6">
      <c r="B375" s="51"/>
      <c r="C375" s="51"/>
      <c r="F375" s="24"/>
    </row>
    <row r="376" spans="2:6">
      <c r="B376" s="51"/>
      <c r="C376" s="51"/>
      <c r="F376" s="24"/>
    </row>
    <row r="377" spans="2:6">
      <c r="B377" s="51"/>
      <c r="C377" s="51"/>
      <c r="F377" s="24"/>
    </row>
    <row r="378" spans="2:6">
      <c r="B378" s="51"/>
      <c r="C378" s="51"/>
      <c r="F378" s="24"/>
    </row>
    <row r="379" spans="2:6">
      <c r="B379" s="51"/>
      <c r="C379" s="51"/>
      <c r="F379" s="24"/>
    </row>
    <row r="380" spans="2:6">
      <c r="B380" s="51"/>
      <c r="C380" s="51"/>
      <c r="F380" s="24"/>
    </row>
    <row r="381" spans="2:6">
      <c r="B381" s="51"/>
      <c r="C381" s="51"/>
      <c r="F381" s="24"/>
    </row>
    <row r="382" spans="2:6">
      <c r="B382" s="51"/>
      <c r="C382" s="51"/>
      <c r="F382" s="24"/>
    </row>
    <row r="383" spans="2:6">
      <c r="B383" s="51"/>
      <c r="C383" s="51"/>
      <c r="F383" s="24"/>
    </row>
    <row r="384" spans="2:6">
      <c r="B384" s="51"/>
      <c r="C384" s="51"/>
      <c r="F384" s="24"/>
    </row>
    <row r="385" spans="2:6">
      <c r="B385" s="51"/>
      <c r="C385" s="51"/>
      <c r="F385" s="24"/>
    </row>
    <row r="386" spans="2:6">
      <c r="B386" s="51"/>
      <c r="C386" s="51"/>
      <c r="F386" s="24"/>
    </row>
    <row r="387" spans="2:6">
      <c r="B387" s="51"/>
      <c r="C387" s="51"/>
      <c r="F387" s="24"/>
    </row>
    <row r="388" spans="2:6">
      <c r="B388" s="51"/>
      <c r="C388" s="51"/>
      <c r="F388" s="24"/>
    </row>
    <row r="389" spans="2:6">
      <c r="B389" s="51"/>
      <c r="C389" s="51"/>
      <c r="F389" s="24"/>
    </row>
    <row r="390" spans="2:6">
      <c r="B390" s="51"/>
      <c r="C390" s="51"/>
      <c r="F390" s="24"/>
    </row>
    <row r="391" spans="2:6">
      <c r="B391" s="51"/>
      <c r="C391" s="51"/>
      <c r="F391" s="24"/>
    </row>
    <row r="392" spans="2:6">
      <c r="B392" s="51"/>
      <c r="C392" s="51"/>
      <c r="F392" s="24"/>
    </row>
    <row r="393" spans="2:6">
      <c r="B393" s="51"/>
      <c r="C393" s="51"/>
      <c r="F393" s="24"/>
    </row>
    <row r="394" spans="2:6">
      <c r="B394" s="51"/>
      <c r="C394" s="51"/>
      <c r="F394" s="24"/>
    </row>
    <row r="395" spans="2:6">
      <c r="B395" s="51"/>
      <c r="C395" s="51"/>
      <c r="F395" s="24"/>
    </row>
    <row r="396" spans="2:6">
      <c r="B396" s="51"/>
      <c r="C396" s="51"/>
      <c r="F396" s="24"/>
    </row>
    <row r="397" spans="2:6">
      <c r="B397" s="51"/>
      <c r="C397" s="51"/>
      <c r="F397" s="24"/>
    </row>
    <row r="398" spans="2:6">
      <c r="B398" s="51"/>
      <c r="C398" s="51"/>
      <c r="F398" s="24"/>
    </row>
    <row r="399" spans="2:6">
      <c r="B399" s="51"/>
      <c r="C399" s="51"/>
      <c r="F399" s="24"/>
    </row>
    <row r="400" spans="2:6">
      <c r="B400" s="51"/>
      <c r="C400" s="51"/>
      <c r="F400" s="24"/>
    </row>
    <row r="401" spans="2:6">
      <c r="B401" s="51"/>
      <c r="C401" s="51"/>
      <c r="F401" s="24"/>
    </row>
    <row r="402" spans="2:6">
      <c r="B402" s="51"/>
      <c r="C402" s="51"/>
      <c r="F402" s="24"/>
    </row>
    <row r="403" spans="2:6">
      <c r="B403" s="51"/>
      <c r="C403" s="51"/>
      <c r="F403" s="24"/>
    </row>
    <row r="404" spans="2:6">
      <c r="B404" s="51"/>
      <c r="C404" s="51"/>
      <c r="F404" s="24"/>
    </row>
    <row r="405" spans="2:6">
      <c r="B405" s="51"/>
      <c r="C405" s="51"/>
      <c r="F405" s="24"/>
    </row>
    <row r="406" spans="2:6">
      <c r="B406" s="51"/>
      <c r="C406" s="51"/>
      <c r="F406" s="24"/>
    </row>
    <row r="407" spans="2:6">
      <c r="B407" s="51"/>
      <c r="C407" s="51"/>
      <c r="F407" s="24"/>
    </row>
    <row r="408" spans="2:6">
      <c r="B408" s="51"/>
      <c r="C408" s="51"/>
      <c r="F408" s="24"/>
    </row>
    <row r="409" spans="2:6">
      <c r="B409" s="51"/>
      <c r="C409" s="51"/>
      <c r="F409" s="24"/>
    </row>
    <row r="410" spans="2:6">
      <c r="B410" s="51"/>
      <c r="C410" s="51"/>
      <c r="F410" s="24"/>
    </row>
    <row r="411" spans="2:6">
      <c r="B411" s="51"/>
      <c r="C411" s="51"/>
      <c r="F411" s="24"/>
    </row>
    <row r="412" spans="2:6">
      <c r="B412" s="51"/>
      <c r="C412" s="51"/>
      <c r="F412" s="24"/>
    </row>
    <row r="413" spans="2:6">
      <c r="B413" s="51"/>
      <c r="C413" s="51"/>
      <c r="F413" s="24"/>
    </row>
    <row r="414" spans="2:6">
      <c r="B414" s="51"/>
      <c r="C414" s="51"/>
      <c r="F414" s="24"/>
    </row>
    <row r="415" spans="2:6">
      <c r="B415" s="51"/>
      <c r="C415" s="51"/>
      <c r="F415" s="24"/>
    </row>
    <row r="416" spans="2:6">
      <c r="B416" s="51"/>
      <c r="C416" s="51"/>
      <c r="F416" s="24"/>
    </row>
    <row r="417" spans="2:6">
      <c r="B417" s="51"/>
      <c r="C417" s="51"/>
      <c r="F417" s="24"/>
    </row>
    <row r="418" spans="2:6">
      <c r="B418" s="51"/>
      <c r="C418" s="51"/>
      <c r="F418" s="24"/>
    </row>
    <row r="419" spans="2:6">
      <c r="B419" s="51"/>
      <c r="C419" s="51"/>
      <c r="F419" s="24"/>
    </row>
    <row r="420" spans="2:6">
      <c r="B420" s="51"/>
      <c r="C420" s="51"/>
      <c r="F420" s="24"/>
    </row>
    <row r="421" spans="2:6">
      <c r="B421" s="51"/>
      <c r="C421" s="51"/>
      <c r="F421" s="24"/>
    </row>
    <row r="422" spans="2:6">
      <c r="B422" s="51"/>
      <c r="C422" s="51"/>
      <c r="F422" s="24"/>
    </row>
    <row r="423" spans="2:6">
      <c r="B423" s="51"/>
      <c r="C423" s="51"/>
      <c r="F423" s="24"/>
    </row>
    <row r="424" spans="2:6">
      <c r="B424" s="51"/>
      <c r="C424" s="51"/>
      <c r="F424" s="24"/>
    </row>
    <row r="425" spans="2:6">
      <c r="B425" s="51"/>
      <c r="C425" s="51"/>
      <c r="F425" s="24"/>
    </row>
    <row r="426" spans="2:6">
      <c r="B426" s="51"/>
      <c r="C426" s="51"/>
      <c r="F426" s="24"/>
    </row>
    <row r="427" spans="2:6">
      <c r="B427" s="51"/>
      <c r="C427" s="51"/>
      <c r="F427" s="24"/>
    </row>
    <row r="428" spans="2:6">
      <c r="B428" s="51"/>
      <c r="C428" s="51"/>
      <c r="F428" s="24"/>
    </row>
    <row r="429" spans="2:6">
      <c r="B429" s="51"/>
      <c r="C429" s="51"/>
      <c r="F429" s="24"/>
    </row>
    <row r="430" spans="2:6">
      <c r="B430" s="51"/>
      <c r="C430" s="51"/>
      <c r="F430" s="24"/>
    </row>
    <row r="431" spans="2:6">
      <c r="B431" s="51"/>
      <c r="C431" s="51"/>
      <c r="F431" s="24"/>
    </row>
    <row r="432" spans="2:6">
      <c r="B432" s="51"/>
      <c r="C432" s="51"/>
      <c r="F432" s="24"/>
    </row>
    <row r="433" spans="2:6">
      <c r="B433" s="51"/>
      <c r="C433" s="51"/>
      <c r="F433" s="24"/>
    </row>
    <row r="434" spans="2:6">
      <c r="B434" s="51"/>
      <c r="C434" s="51"/>
      <c r="F434" s="24"/>
    </row>
    <row r="435" spans="2:6">
      <c r="B435" s="51"/>
      <c r="C435" s="51"/>
      <c r="F435" s="24"/>
    </row>
    <row r="436" spans="2:6">
      <c r="B436" s="51"/>
      <c r="C436" s="51"/>
      <c r="F436" s="24"/>
    </row>
    <row r="437" spans="2:6">
      <c r="B437" s="51"/>
      <c r="C437" s="51"/>
      <c r="F437" s="24"/>
    </row>
    <row r="438" spans="2:6">
      <c r="B438" s="51"/>
      <c r="C438" s="51"/>
      <c r="F438" s="24"/>
    </row>
    <row r="439" spans="2:6">
      <c r="B439" s="51"/>
      <c r="C439" s="51"/>
      <c r="F439" s="24"/>
    </row>
    <row r="440" spans="2:6">
      <c r="B440" s="51"/>
      <c r="C440" s="51"/>
      <c r="F440" s="24"/>
    </row>
    <row r="441" spans="2:6">
      <c r="B441" s="51"/>
      <c r="C441" s="51"/>
      <c r="F441" s="24"/>
    </row>
    <row r="442" spans="2:6">
      <c r="B442" s="51"/>
      <c r="C442" s="51"/>
      <c r="F442" s="24"/>
    </row>
    <row r="443" spans="2:6">
      <c r="B443" s="51"/>
      <c r="C443" s="51"/>
      <c r="F443" s="24"/>
    </row>
    <row r="444" spans="2:6">
      <c r="B444" s="51"/>
      <c r="C444" s="51"/>
      <c r="F444" s="24"/>
    </row>
    <row r="445" spans="2:6">
      <c r="B445" s="51"/>
      <c r="C445" s="51"/>
      <c r="F445" s="24"/>
    </row>
    <row r="446" spans="2:6">
      <c r="B446" s="51"/>
      <c r="C446" s="51"/>
      <c r="F446" s="24"/>
    </row>
    <row r="447" spans="2:6">
      <c r="B447" s="51"/>
      <c r="C447" s="51"/>
      <c r="F447" s="24"/>
    </row>
    <row r="448" spans="2:6">
      <c r="B448" s="51"/>
      <c r="C448" s="51"/>
      <c r="F448" s="24"/>
    </row>
    <row r="449" spans="2:6">
      <c r="B449" s="51"/>
      <c r="C449" s="51"/>
      <c r="F449" s="24"/>
    </row>
    <row r="450" spans="2:6">
      <c r="B450" s="51"/>
      <c r="C450" s="51"/>
      <c r="F450" s="24"/>
    </row>
    <row r="451" spans="2:6">
      <c r="B451" s="51"/>
      <c r="C451" s="51"/>
      <c r="F451" s="24"/>
    </row>
    <row r="452" spans="2:6">
      <c r="B452" s="51"/>
      <c r="C452" s="51"/>
      <c r="F452" s="24"/>
    </row>
    <row r="453" spans="2:6">
      <c r="B453" s="51"/>
      <c r="C453" s="51"/>
      <c r="F453" s="24"/>
    </row>
    <row r="454" spans="2:6">
      <c r="B454" s="51"/>
      <c r="C454" s="51"/>
      <c r="F454" s="24"/>
    </row>
    <row r="455" spans="2:6">
      <c r="B455" s="51"/>
      <c r="C455" s="51"/>
      <c r="F455" s="24"/>
    </row>
    <row r="456" spans="2:6">
      <c r="B456" s="51"/>
      <c r="C456" s="51"/>
      <c r="F456" s="24"/>
    </row>
    <row r="457" spans="2:6">
      <c r="B457" s="51"/>
      <c r="C457" s="51"/>
      <c r="F457" s="24"/>
    </row>
    <row r="458" spans="2:6">
      <c r="B458" s="51"/>
      <c r="C458" s="51"/>
      <c r="F458" s="24"/>
    </row>
    <row r="459" spans="2:6">
      <c r="B459" s="51"/>
      <c r="C459" s="51"/>
      <c r="F459" s="24"/>
    </row>
    <row r="460" spans="2:6">
      <c r="B460" s="51"/>
      <c r="C460" s="51"/>
      <c r="F460" s="24"/>
    </row>
    <row r="461" spans="2:6">
      <c r="B461" s="51"/>
      <c r="C461" s="51"/>
      <c r="F461" s="24"/>
    </row>
    <row r="462" spans="2:6">
      <c r="B462" s="51"/>
      <c r="C462" s="51"/>
      <c r="F462" s="24"/>
    </row>
    <row r="463" spans="2:6">
      <c r="B463" s="51"/>
      <c r="C463" s="51"/>
      <c r="F463" s="24"/>
    </row>
    <row r="464" spans="2:6">
      <c r="B464" s="51"/>
      <c r="C464" s="51"/>
      <c r="F464" s="24"/>
    </row>
    <row r="465" spans="2:6">
      <c r="B465" s="51"/>
      <c r="C465" s="51"/>
      <c r="F465" s="24"/>
    </row>
    <row r="466" spans="2:6">
      <c r="B466" s="51"/>
      <c r="C466" s="51"/>
      <c r="F466" s="24"/>
    </row>
    <row r="467" spans="2:6">
      <c r="B467" s="51"/>
      <c r="C467" s="51"/>
      <c r="F467" s="24"/>
    </row>
    <row r="468" spans="2:6">
      <c r="B468" s="51"/>
      <c r="C468" s="51"/>
      <c r="F468" s="24"/>
    </row>
    <row r="469" spans="2:6">
      <c r="B469" s="51"/>
      <c r="C469" s="51"/>
      <c r="F469" s="24"/>
    </row>
    <row r="470" spans="2:6">
      <c r="B470" s="51"/>
      <c r="C470" s="51"/>
      <c r="F470" s="24"/>
    </row>
    <row r="471" spans="2:6">
      <c r="B471" s="51"/>
      <c r="C471" s="51"/>
      <c r="F471" s="24"/>
    </row>
    <row r="472" spans="2:6">
      <c r="B472" s="51"/>
      <c r="C472" s="51"/>
      <c r="F472" s="24"/>
    </row>
    <row r="473" spans="2:6">
      <c r="B473" s="51"/>
      <c r="C473" s="51"/>
      <c r="F473" s="24"/>
    </row>
    <row r="474" spans="2:6">
      <c r="B474" s="51"/>
      <c r="C474" s="51"/>
      <c r="F474" s="24"/>
    </row>
    <row r="475" spans="2:6">
      <c r="B475" s="51"/>
      <c r="C475" s="51"/>
      <c r="F475" s="24"/>
    </row>
    <row r="476" spans="2:6">
      <c r="B476" s="51"/>
      <c r="C476" s="51"/>
      <c r="F476" s="24"/>
    </row>
    <row r="477" spans="2:6">
      <c r="B477" s="51"/>
      <c r="C477" s="51"/>
      <c r="F477" s="24"/>
    </row>
    <row r="478" spans="2:6">
      <c r="B478" s="51"/>
      <c r="C478" s="51"/>
      <c r="F478" s="24"/>
    </row>
    <row r="479" spans="2:6">
      <c r="B479" s="51"/>
      <c r="C479" s="51"/>
      <c r="F479" s="24"/>
    </row>
    <row r="480" spans="2:6">
      <c r="B480" s="51"/>
      <c r="C480" s="51"/>
      <c r="F480" s="24"/>
    </row>
    <row r="481" spans="2:6">
      <c r="B481" s="51"/>
      <c r="C481" s="51"/>
      <c r="F481" s="24"/>
    </row>
    <row r="482" spans="2:6">
      <c r="B482" s="51"/>
      <c r="C482" s="51"/>
      <c r="F482" s="24"/>
    </row>
    <row r="483" spans="2:6">
      <c r="B483" s="51"/>
      <c r="C483" s="51"/>
      <c r="F483" s="24"/>
    </row>
    <row r="484" spans="2:6">
      <c r="B484" s="51"/>
      <c r="C484" s="51"/>
      <c r="F484" s="24"/>
    </row>
    <row r="485" spans="2:6">
      <c r="B485" s="51"/>
      <c r="C485" s="51"/>
      <c r="F485" s="24"/>
    </row>
    <row r="486" spans="2:6">
      <c r="B486" s="51"/>
      <c r="C486" s="51"/>
      <c r="F486" s="24"/>
    </row>
    <row r="487" spans="2:6">
      <c r="B487" s="51"/>
      <c r="C487" s="51"/>
      <c r="F487" s="24"/>
    </row>
    <row r="488" spans="2:6">
      <c r="B488" s="51"/>
      <c r="C488" s="51"/>
      <c r="F488" s="24"/>
    </row>
    <row r="489" spans="2:6">
      <c r="B489" s="51"/>
      <c r="C489" s="51"/>
      <c r="F489" s="24"/>
    </row>
    <row r="490" spans="2:6">
      <c r="B490" s="51"/>
      <c r="C490" s="51"/>
      <c r="F490" s="24"/>
    </row>
    <row r="491" spans="2:6">
      <c r="B491" s="51"/>
      <c r="C491" s="51"/>
      <c r="F491" s="24"/>
    </row>
    <row r="492" spans="2:6">
      <c r="B492" s="51"/>
      <c r="C492" s="51"/>
      <c r="F492" s="24"/>
    </row>
    <row r="493" spans="2:6">
      <c r="B493" s="51"/>
      <c r="C493" s="51"/>
      <c r="F493" s="24"/>
    </row>
    <row r="494" spans="2:6">
      <c r="B494" s="51"/>
      <c r="C494" s="51"/>
      <c r="F494" s="24"/>
    </row>
    <row r="495" spans="2:6">
      <c r="B495" s="51"/>
      <c r="C495" s="51"/>
      <c r="F495" s="24"/>
    </row>
    <row r="496" spans="2:6">
      <c r="B496" s="51"/>
      <c r="C496" s="51"/>
      <c r="F496" s="24"/>
    </row>
    <row r="497" spans="2:6">
      <c r="B497" s="51"/>
      <c r="C497" s="51"/>
      <c r="F497" s="24"/>
    </row>
    <row r="498" spans="2:6">
      <c r="B498" s="51"/>
      <c r="C498" s="51"/>
      <c r="F498" s="24"/>
    </row>
    <row r="499" spans="2:6">
      <c r="B499" s="51"/>
      <c r="C499" s="51"/>
      <c r="F499" s="24"/>
    </row>
    <row r="500" spans="2:6">
      <c r="B500" s="51"/>
      <c r="C500" s="51"/>
      <c r="F500" s="24"/>
    </row>
    <row r="501" spans="2:6">
      <c r="B501" s="51"/>
      <c r="C501" s="51"/>
      <c r="F501" s="24"/>
    </row>
    <row r="502" spans="2:6">
      <c r="B502" s="51"/>
      <c r="C502" s="51"/>
      <c r="F502" s="24"/>
    </row>
    <row r="503" spans="2:6">
      <c r="B503" s="51"/>
      <c r="C503" s="51"/>
      <c r="F503" s="24"/>
    </row>
    <row r="504" spans="2:6">
      <c r="B504" s="51"/>
      <c r="C504" s="51"/>
      <c r="F504" s="24"/>
    </row>
    <row r="505" spans="2:6">
      <c r="B505" s="51"/>
      <c r="C505" s="51"/>
      <c r="F505" s="24"/>
    </row>
    <row r="506" spans="2:6">
      <c r="B506" s="51"/>
      <c r="C506" s="51"/>
      <c r="F506" s="24"/>
    </row>
    <row r="507" spans="2:6">
      <c r="B507" s="51"/>
      <c r="C507" s="51"/>
      <c r="F507" s="24"/>
    </row>
    <row r="508" spans="2:6">
      <c r="B508" s="51"/>
      <c r="C508" s="51"/>
      <c r="F508" s="24"/>
    </row>
    <row r="509" spans="2:6">
      <c r="B509" s="51"/>
      <c r="C509" s="51"/>
      <c r="F509" s="24"/>
    </row>
    <row r="510" spans="2:6">
      <c r="B510" s="51"/>
      <c r="C510" s="51"/>
      <c r="F510" s="24"/>
    </row>
    <row r="511" spans="2:6">
      <c r="B511" s="51"/>
      <c r="C511" s="51"/>
      <c r="F511" s="24"/>
    </row>
    <row r="512" spans="2:6">
      <c r="B512" s="51"/>
      <c r="C512" s="51"/>
      <c r="F512" s="24"/>
    </row>
    <row r="513" spans="2:6">
      <c r="B513" s="51"/>
      <c r="C513" s="51"/>
      <c r="F513" s="24"/>
    </row>
    <row r="514" spans="2:6">
      <c r="B514" s="51"/>
      <c r="C514" s="51"/>
      <c r="F514" s="24"/>
    </row>
    <row r="515" spans="2:6">
      <c r="B515" s="51"/>
      <c r="C515" s="51"/>
      <c r="F515" s="24"/>
    </row>
    <row r="516" spans="2:6">
      <c r="B516" s="51"/>
      <c r="C516" s="51"/>
      <c r="F516" s="24"/>
    </row>
    <row r="517" spans="2:6">
      <c r="B517" s="51"/>
      <c r="C517" s="51"/>
      <c r="F517" s="24"/>
    </row>
    <row r="518" spans="2:6">
      <c r="B518" s="51"/>
      <c r="C518" s="51"/>
      <c r="F518" s="24"/>
    </row>
    <row r="519" spans="2:6">
      <c r="B519" s="51"/>
      <c r="C519" s="51"/>
      <c r="F519" s="24"/>
    </row>
    <row r="520" spans="2:6">
      <c r="B520" s="51"/>
      <c r="C520" s="51"/>
      <c r="F520" s="24"/>
    </row>
    <row r="521" spans="2:6">
      <c r="B521" s="51"/>
      <c r="C521" s="51"/>
      <c r="F521" s="24"/>
    </row>
    <row r="522" spans="2:6">
      <c r="B522" s="51"/>
      <c r="C522" s="51"/>
      <c r="F522" s="24"/>
    </row>
    <row r="523" spans="2:6">
      <c r="B523" s="51"/>
      <c r="C523" s="51"/>
      <c r="F523" s="24"/>
    </row>
    <row r="524" spans="2:6">
      <c r="B524" s="51"/>
      <c r="C524" s="51"/>
      <c r="F524" s="24"/>
    </row>
    <row r="525" spans="2:6">
      <c r="B525" s="51"/>
      <c r="C525" s="51"/>
      <c r="F525" s="24"/>
    </row>
    <row r="526" spans="2:6">
      <c r="B526" s="51"/>
      <c r="C526" s="51"/>
      <c r="F526" s="24"/>
    </row>
    <row r="527" spans="2:6">
      <c r="B527" s="51"/>
      <c r="C527" s="51"/>
      <c r="F527" s="24"/>
    </row>
    <row r="528" spans="2:6">
      <c r="B528" s="51"/>
      <c r="C528" s="51"/>
      <c r="F528" s="24"/>
    </row>
    <row r="529" spans="2:6">
      <c r="B529" s="51"/>
      <c r="C529" s="51"/>
      <c r="F529" s="24"/>
    </row>
    <row r="530" spans="2:6">
      <c r="B530" s="51"/>
      <c r="C530" s="51"/>
      <c r="F530" s="24"/>
    </row>
    <row r="531" spans="2:6">
      <c r="B531" s="51"/>
      <c r="C531" s="51"/>
      <c r="F531" s="24"/>
    </row>
    <row r="532" spans="2:6">
      <c r="B532" s="51"/>
      <c r="C532" s="51"/>
      <c r="F532" s="24"/>
    </row>
    <row r="533" spans="2:6">
      <c r="B533" s="51"/>
      <c r="C533" s="51"/>
      <c r="F533" s="24"/>
    </row>
    <row r="534" spans="2:6">
      <c r="B534" s="51"/>
      <c r="C534" s="51"/>
      <c r="F534" s="24"/>
    </row>
    <row r="535" spans="2:6">
      <c r="B535" s="51"/>
      <c r="C535" s="51"/>
      <c r="F535" s="24"/>
    </row>
    <row r="536" spans="2:6">
      <c r="B536" s="51"/>
      <c r="C536" s="51"/>
      <c r="F536" s="24"/>
    </row>
    <row r="537" spans="2:6">
      <c r="B537" s="51"/>
      <c r="C537" s="51"/>
      <c r="F537" s="24"/>
    </row>
    <row r="538" spans="2:6">
      <c r="B538" s="51"/>
      <c r="C538" s="51"/>
      <c r="F538" s="24"/>
    </row>
    <row r="539" spans="2:6">
      <c r="B539" s="51"/>
      <c r="C539" s="51"/>
      <c r="F539" s="24"/>
    </row>
    <row r="540" spans="2:6">
      <c r="B540" s="51"/>
      <c r="C540" s="51"/>
      <c r="F540" s="24"/>
    </row>
    <row r="541" spans="2:6">
      <c r="B541" s="51"/>
      <c r="C541" s="51"/>
      <c r="F541" s="24"/>
    </row>
    <row r="542" spans="2:6">
      <c r="B542" s="51"/>
      <c r="C542" s="51"/>
      <c r="F542" s="24"/>
    </row>
    <row r="543" spans="2:6">
      <c r="B543" s="51"/>
      <c r="C543" s="51"/>
      <c r="F543" s="24"/>
    </row>
    <row r="544" spans="2:6">
      <c r="B544" s="51"/>
      <c r="C544" s="51"/>
      <c r="F544" s="24"/>
    </row>
    <row r="545" spans="2:6">
      <c r="B545" s="51"/>
      <c r="C545" s="51"/>
      <c r="F545" s="24"/>
    </row>
    <row r="546" spans="2:6">
      <c r="B546" s="51"/>
      <c r="C546" s="51"/>
      <c r="F546" s="24"/>
    </row>
    <row r="547" spans="2:6">
      <c r="B547" s="51"/>
      <c r="C547" s="51"/>
      <c r="F547" s="24"/>
    </row>
    <row r="548" spans="2:6">
      <c r="B548" s="51"/>
      <c r="C548" s="51"/>
      <c r="F548" s="24"/>
    </row>
    <row r="549" spans="2:6">
      <c r="B549" s="51"/>
      <c r="C549" s="51"/>
      <c r="F549" s="24"/>
    </row>
    <row r="550" spans="2:6">
      <c r="B550" s="51"/>
      <c r="C550" s="51"/>
      <c r="F550" s="24"/>
    </row>
    <row r="551" spans="2:6">
      <c r="B551" s="51"/>
      <c r="C551" s="51"/>
      <c r="F551" s="24"/>
    </row>
    <row r="552" spans="2:6">
      <c r="B552" s="51"/>
      <c r="C552" s="51"/>
      <c r="F552" s="24"/>
    </row>
    <row r="553" spans="2:6">
      <c r="B553" s="51"/>
      <c r="C553" s="51"/>
      <c r="F553" s="24"/>
    </row>
    <row r="554" spans="2:6">
      <c r="B554" s="51"/>
      <c r="C554" s="51"/>
      <c r="F554" s="24"/>
    </row>
    <row r="555" spans="2:6">
      <c r="B555" s="51"/>
      <c r="C555" s="51"/>
      <c r="F555" s="24"/>
    </row>
    <row r="556" spans="2:6">
      <c r="B556" s="51"/>
      <c r="C556" s="51"/>
      <c r="F556" s="24"/>
    </row>
    <row r="557" spans="2:6">
      <c r="B557" s="51"/>
      <c r="C557" s="51"/>
      <c r="F557" s="24"/>
    </row>
    <row r="558" spans="2:6">
      <c r="B558" s="51"/>
      <c r="C558" s="51"/>
      <c r="F558" s="24"/>
    </row>
    <row r="559" spans="2:6">
      <c r="B559" s="51"/>
      <c r="C559" s="51"/>
      <c r="F559" s="24"/>
    </row>
    <row r="560" spans="2:6">
      <c r="B560" s="51"/>
      <c r="C560" s="51"/>
      <c r="F560" s="24"/>
    </row>
    <row r="561" spans="2:6">
      <c r="B561" s="51"/>
      <c r="C561" s="51"/>
      <c r="F561" s="24"/>
    </row>
    <row r="562" spans="2:6">
      <c r="B562" s="51"/>
      <c r="C562" s="51"/>
      <c r="F562" s="24"/>
    </row>
    <row r="563" spans="2:6">
      <c r="B563" s="51"/>
      <c r="C563" s="51"/>
      <c r="F563" s="24"/>
    </row>
    <row r="564" spans="2:6">
      <c r="B564" s="51"/>
      <c r="C564" s="51"/>
      <c r="F564" s="24"/>
    </row>
    <row r="565" spans="2:6">
      <c r="B565" s="51"/>
      <c r="C565" s="51"/>
      <c r="F565" s="24"/>
    </row>
    <row r="566" spans="2:6">
      <c r="B566" s="51"/>
      <c r="C566" s="51"/>
      <c r="F566" s="24"/>
    </row>
    <row r="567" spans="2:6">
      <c r="B567" s="51"/>
      <c r="C567" s="51"/>
      <c r="F567" s="24"/>
    </row>
    <row r="568" spans="2:6">
      <c r="B568" s="51"/>
      <c r="C568" s="51"/>
      <c r="F568" s="24"/>
    </row>
    <row r="569" spans="2:6">
      <c r="B569" s="51"/>
      <c r="C569" s="51"/>
      <c r="F569" s="24"/>
    </row>
    <row r="570" spans="2:6">
      <c r="B570" s="51"/>
      <c r="C570" s="51"/>
      <c r="F570" s="24"/>
    </row>
    <row r="571" spans="2:6">
      <c r="B571" s="51"/>
      <c r="C571" s="51"/>
      <c r="F571" s="24"/>
    </row>
    <row r="572" spans="2:6">
      <c r="B572" s="51"/>
      <c r="C572" s="51"/>
      <c r="F572" s="24"/>
    </row>
    <row r="573" spans="2:6">
      <c r="B573" s="51"/>
      <c r="C573" s="51"/>
      <c r="F573" s="24"/>
    </row>
    <row r="574" spans="2:6">
      <c r="B574" s="51"/>
      <c r="C574" s="51"/>
      <c r="F574" s="24"/>
    </row>
    <row r="575" spans="2:6">
      <c r="B575" s="51"/>
      <c r="C575" s="51"/>
      <c r="F575" s="24"/>
    </row>
    <row r="576" spans="2:6">
      <c r="B576" s="51"/>
      <c r="C576" s="51"/>
      <c r="F576" s="24"/>
    </row>
    <row r="577" spans="2:6">
      <c r="B577" s="51"/>
      <c r="C577" s="51"/>
      <c r="F577" s="24"/>
    </row>
    <row r="578" spans="2:6">
      <c r="B578" s="51"/>
      <c r="C578" s="51"/>
      <c r="F578" s="24"/>
    </row>
    <row r="579" spans="2:6">
      <c r="B579" s="51"/>
      <c r="C579" s="51"/>
      <c r="F579" s="24"/>
    </row>
    <row r="580" spans="2:6">
      <c r="B580" s="51"/>
      <c r="C580" s="51"/>
      <c r="F580" s="24"/>
    </row>
    <row r="581" spans="2:6">
      <c r="B581" s="51"/>
      <c r="C581" s="51"/>
      <c r="F581" s="24"/>
    </row>
    <row r="582" spans="2:6">
      <c r="B582" s="51"/>
      <c r="C582" s="51"/>
      <c r="F582" s="24"/>
    </row>
    <row r="583" spans="2:6">
      <c r="B583" s="51"/>
      <c r="C583" s="51"/>
      <c r="F583" s="24"/>
    </row>
    <row r="584" spans="2:6">
      <c r="B584" s="51"/>
      <c r="C584" s="51"/>
      <c r="F584" s="24"/>
    </row>
    <row r="585" spans="2:6">
      <c r="B585" s="51"/>
      <c r="C585" s="51"/>
      <c r="F585" s="24"/>
    </row>
    <row r="586" spans="2:6">
      <c r="B586" s="51"/>
      <c r="C586" s="51"/>
      <c r="F586" s="24"/>
    </row>
    <row r="587" spans="2:6">
      <c r="B587" s="51"/>
      <c r="C587" s="51"/>
      <c r="F587" s="24"/>
    </row>
    <row r="588" spans="2:6">
      <c r="B588" s="51"/>
      <c r="C588" s="51"/>
      <c r="F588" s="24"/>
    </row>
    <row r="589" spans="2:6">
      <c r="B589" s="51"/>
      <c r="C589" s="51"/>
      <c r="F589" s="24"/>
    </row>
    <row r="590" spans="2:6">
      <c r="B590" s="51"/>
      <c r="C590" s="51"/>
      <c r="F590" s="24"/>
    </row>
    <row r="591" spans="2:6">
      <c r="B591" s="51"/>
      <c r="C591" s="51"/>
      <c r="F591" s="24"/>
    </row>
    <row r="592" spans="2:6">
      <c r="B592" s="51"/>
      <c r="C592" s="51"/>
      <c r="F592" s="24"/>
    </row>
    <row r="593" spans="2:6">
      <c r="B593" s="51"/>
      <c r="C593" s="51"/>
      <c r="F593" s="24"/>
    </row>
    <row r="594" spans="2:6">
      <c r="B594" s="51"/>
      <c r="C594" s="51"/>
      <c r="F594" s="24"/>
    </row>
    <row r="595" spans="2:6">
      <c r="B595" s="51"/>
      <c r="C595" s="51"/>
      <c r="F595" s="24"/>
    </row>
    <row r="596" spans="2:6">
      <c r="B596" s="51"/>
      <c r="C596" s="51"/>
      <c r="F596" s="24"/>
    </row>
    <row r="597" spans="2:6">
      <c r="B597" s="51"/>
      <c r="C597" s="51"/>
      <c r="F597" s="24"/>
    </row>
    <row r="598" spans="2:6">
      <c r="B598" s="51"/>
      <c r="C598" s="51"/>
      <c r="F598" s="24"/>
    </row>
    <row r="599" spans="2:6">
      <c r="B599" s="51"/>
      <c r="C599" s="51"/>
      <c r="F599" s="24"/>
    </row>
    <row r="600" spans="2:6">
      <c r="B600" s="51"/>
      <c r="C600" s="51"/>
      <c r="F600" s="24"/>
    </row>
    <row r="601" spans="2:6">
      <c r="B601" s="51"/>
      <c r="C601" s="51"/>
      <c r="F601" s="24"/>
    </row>
    <row r="602" spans="2:6">
      <c r="B602" s="51"/>
      <c r="C602" s="51"/>
      <c r="F602" s="24"/>
    </row>
    <row r="603" spans="2:6">
      <c r="B603" s="51"/>
      <c r="C603" s="51"/>
      <c r="F603" s="24"/>
    </row>
    <row r="604" spans="2:6">
      <c r="B604" s="51"/>
      <c r="C604" s="51"/>
      <c r="F604" s="24"/>
    </row>
    <row r="605" spans="2:6">
      <c r="B605" s="51"/>
      <c r="C605" s="51"/>
      <c r="F605" s="24"/>
    </row>
    <row r="606" spans="2:6">
      <c r="B606" s="51"/>
      <c r="C606" s="51"/>
      <c r="F606" s="24"/>
    </row>
    <row r="607" spans="2:6">
      <c r="B607" s="51"/>
      <c r="C607" s="51"/>
      <c r="F607" s="24"/>
    </row>
    <row r="608" spans="2:6">
      <c r="B608" s="51"/>
      <c r="C608" s="51"/>
      <c r="F608" s="24"/>
    </row>
    <row r="609" spans="2:6">
      <c r="B609" s="51"/>
      <c r="C609" s="51"/>
      <c r="F609" s="24"/>
    </row>
    <row r="610" spans="2:6">
      <c r="B610" s="51"/>
      <c r="C610" s="51"/>
      <c r="F610" s="24"/>
    </row>
    <row r="611" spans="2:6">
      <c r="B611" s="51"/>
      <c r="C611" s="51"/>
      <c r="F611" s="24"/>
    </row>
    <row r="612" spans="2:6">
      <c r="B612" s="51"/>
      <c r="C612" s="51"/>
      <c r="F612" s="24"/>
    </row>
    <row r="613" spans="2:6">
      <c r="B613" s="51"/>
      <c r="C613" s="51"/>
      <c r="F613" s="24"/>
    </row>
    <row r="614" spans="2:6">
      <c r="B614" s="51"/>
      <c r="C614" s="51"/>
      <c r="F614" s="24"/>
    </row>
    <row r="615" spans="2:6">
      <c r="B615" s="51"/>
      <c r="C615" s="51"/>
      <c r="F615" s="24"/>
    </row>
    <row r="616" spans="2:6">
      <c r="B616" s="51"/>
      <c r="C616" s="51"/>
      <c r="F616" s="24"/>
    </row>
    <row r="617" spans="2:6">
      <c r="B617" s="51"/>
      <c r="C617" s="51"/>
      <c r="F617" s="24"/>
    </row>
    <row r="618" spans="2:6">
      <c r="B618" s="51"/>
      <c r="C618" s="51"/>
      <c r="F618" s="24"/>
    </row>
    <row r="619" spans="2:6">
      <c r="B619" s="51"/>
      <c r="C619" s="51"/>
      <c r="F619" s="24"/>
    </row>
    <row r="620" spans="2:6">
      <c r="B620" s="51"/>
      <c r="C620" s="51"/>
      <c r="F620" s="24"/>
    </row>
    <row r="621" spans="2:6">
      <c r="B621" s="51"/>
      <c r="C621" s="51"/>
      <c r="F621" s="24"/>
    </row>
    <row r="622" spans="2:6">
      <c r="B622" s="51"/>
      <c r="C622" s="51"/>
      <c r="F622" s="24"/>
    </row>
    <row r="623" spans="2:6">
      <c r="B623" s="51"/>
      <c r="C623" s="51"/>
      <c r="F623" s="24"/>
    </row>
    <row r="624" spans="2:6">
      <c r="B624" s="51"/>
      <c r="C624" s="51"/>
      <c r="F624" s="24"/>
    </row>
    <row r="625" spans="2:6">
      <c r="B625" s="51"/>
      <c r="C625" s="51"/>
      <c r="F625" s="24"/>
    </row>
    <row r="626" spans="2:6">
      <c r="B626" s="51"/>
      <c r="C626" s="51"/>
      <c r="F626" s="24"/>
    </row>
    <row r="627" spans="2:6">
      <c r="B627" s="51"/>
      <c r="C627" s="51"/>
      <c r="F627" s="24"/>
    </row>
    <row r="628" spans="2:6">
      <c r="B628" s="51"/>
      <c r="C628" s="51"/>
      <c r="F628" s="24"/>
    </row>
    <row r="629" spans="2:6">
      <c r="B629" s="51"/>
      <c r="C629" s="51"/>
      <c r="F629" s="24"/>
    </row>
    <row r="630" spans="2:6">
      <c r="B630" s="51"/>
      <c r="C630" s="51"/>
      <c r="F630" s="24"/>
    </row>
    <row r="631" spans="2:6">
      <c r="B631" s="51"/>
      <c r="C631" s="51"/>
      <c r="F631" s="24"/>
    </row>
    <row r="632" spans="2:6">
      <c r="B632" s="51"/>
      <c r="C632" s="51"/>
      <c r="F632" s="24"/>
    </row>
    <row r="633" spans="2:6">
      <c r="B633" s="51"/>
      <c r="C633" s="51"/>
      <c r="F633" s="24"/>
    </row>
    <row r="634" spans="2:6">
      <c r="B634" s="51"/>
      <c r="C634" s="51"/>
      <c r="F634" s="24"/>
    </row>
    <row r="635" spans="2:6">
      <c r="B635" s="51"/>
      <c r="C635" s="51"/>
      <c r="F635" s="24"/>
    </row>
    <row r="636" spans="2:6">
      <c r="B636" s="51"/>
      <c r="C636" s="51"/>
      <c r="F636" s="24"/>
    </row>
    <row r="637" spans="2:6">
      <c r="B637" s="51"/>
      <c r="C637" s="51"/>
      <c r="F637" s="24"/>
    </row>
    <row r="638" spans="2:6">
      <c r="B638" s="51"/>
      <c r="C638" s="51"/>
      <c r="F638" s="24"/>
    </row>
    <row r="639" spans="2:6">
      <c r="B639" s="51"/>
      <c r="C639" s="51"/>
      <c r="F639" s="24"/>
    </row>
    <row r="640" spans="2:6">
      <c r="B640" s="51"/>
      <c r="C640" s="51"/>
      <c r="F640" s="24"/>
    </row>
    <row r="641" spans="2:6">
      <c r="B641" s="51"/>
      <c r="C641" s="51"/>
      <c r="F641" s="24"/>
    </row>
    <row r="642" spans="2:6">
      <c r="B642" s="51"/>
      <c r="C642" s="51"/>
      <c r="F642" s="24"/>
    </row>
    <row r="643" spans="2:6">
      <c r="B643" s="51"/>
      <c r="C643" s="51"/>
      <c r="F643" s="24"/>
    </row>
    <row r="644" spans="2:6">
      <c r="B644" s="51"/>
      <c r="C644" s="51"/>
      <c r="F644" s="24"/>
    </row>
    <row r="645" spans="2:6">
      <c r="B645" s="51"/>
      <c r="C645" s="51"/>
      <c r="F645" s="24"/>
    </row>
    <row r="646" spans="2:6">
      <c r="B646" s="51"/>
      <c r="C646" s="51"/>
      <c r="F646" s="24"/>
    </row>
    <row r="647" spans="2:6">
      <c r="B647" s="51"/>
      <c r="C647" s="51"/>
      <c r="F647" s="24"/>
    </row>
    <row r="648" spans="2:6">
      <c r="B648" s="51"/>
      <c r="C648" s="51"/>
      <c r="F648" s="24"/>
    </row>
    <row r="649" spans="2:6">
      <c r="B649" s="51"/>
      <c r="C649" s="51"/>
      <c r="F649" s="24"/>
    </row>
    <row r="650" spans="2:6">
      <c r="B650" s="51"/>
      <c r="C650" s="51"/>
      <c r="F650" s="24"/>
    </row>
    <row r="651" spans="2:6">
      <c r="B651" s="51"/>
      <c r="C651" s="51"/>
      <c r="F651" s="24"/>
    </row>
    <row r="652" spans="2:6">
      <c r="B652" s="51"/>
      <c r="C652" s="51"/>
      <c r="F652" s="24"/>
    </row>
    <row r="653" spans="2:6">
      <c r="B653" s="51"/>
      <c r="C653" s="51"/>
      <c r="F653" s="24"/>
    </row>
    <row r="654" spans="2:6">
      <c r="B654" s="51"/>
      <c r="C654" s="51"/>
      <c r="F654" s="24"/>
    </row>
    <row r="655" spans="2:6">
      <c r="B655" s="51"/>
      <c r="C655" s="51"/>
      <c r="F655" s="24"/>
    </row>
    <row r="656" spans="2:6">
      <c r="B656" s="51"/>
      <c r="C656" s="51"/>
      <c r="F656" s="24"/>
    </row>
    <row r="657" spans="2:6">
      <c r="B657" s="51"/>
      <c r="C657" s="51"/>
      <c r="F657" s="24"/>
    </row>
    <row r="658" spans="2:6">
      <c r="B658" s="51"/>
      <c r="C658" s="51"/>
      <c r="F658" s="24"/>
    </row>
    <row r="659" spans="2:6">
      <c r="B659" s="51"/>
      <c r="C659" s="51"/>
      <c r="F659" s="24"/>
    </row>
    <row r="660" spans="2:6">
      <c r="B660" s="51"/>
      <c r="C660" s="51"/>
      <c r="F660" s="24"/>
    </row>
    <row r="661" spans="2:6">
      <c r="B661" s="51"/>
      <c r="C661" s="51"/>
      <c r="F661" s="24"/>
    </row>
    <row r="662" spans="2:6">
      <c r="B662" s="51"/>
      <c r="C662" s="51"/>
      <c r="F662" s="24"/>
    </row>
    <row r="663" spans="2:6">
      <c r="B663" s="51"/>
      <c r="C663" s="51"/>
      <c r="F663" s="24"/>
    </row>
    <row r="664" spans="2:6">
      <c r="B664" s="51"/>
      <c r="C664" s="51"/>
      <c r="F664" s="24"/>
    </row>
    <row r="665" spans="2:6">
      <c r="B665" s="51"/>
      <c r="C665" s="51"/>
      <c r="F665" s="24"/>
    </row>
    <row r="666" spans="2:6">
      <c r="B666" s="51"/>
      <c r="C666" s="51"/>
      <c r="F666" s="24"/>
    </row>
    <row r="667" spans="2:6">
      <c r="B667" s="51"/>
      <c r="C667" s="51"/>
      <c r="F667" s="24"/>
    </row>
    <row r="668" spans="2:6">
      <c r="B668" s="51"/>
      <c r="C668" s="51"/>
      <c r="F668" s="24"/>
    </row>
    <row r="669" spans="2:6">
      <c r="B669" s="51"/>
      <c r="C669" s="51"/>
      <c r="F669" s="24"/>
    </row>
    <row r="670" spans="2:6">
      <c r="B670" s="51"/>
      <c r="C670" s="51"/>
      <c r="F670" s="24"/>
    </row>
    <row r="671" spans="2:6">
      <c r="B671" s="51"/>
      <c r="C671" s="51"/>
      <c r="F671" s="24"/>
    </row>
    <row r="672" spans="2:6">
      <c r="B672" s="51"/>
      <c r="C672" s="51"/>
      <c r="F672" s="24"/>
    </row>
    <row r="673" spans="2:6">
      <c r="B673" s="51"/>
      <c r="C673" s="51"/>
      <c r="F673" s="24"/>
    </row>
    <row r="674" spans="2:6">
      <c r="B674" s="51"/>
      <c r="C674" s="51"/>
      <c r="F674" s="24"/>
    </row>
    <row r="675" spans="2:6">
      <c r="B675" s="51"/>
      <c r="C675" s="51"/>
      <c r="F675" s="24"/>
    </row>
    <row r="676" spans="2:6">
      <c r="B676" s="51"/>
      <c r="C676" s="51"/>
      <c r="F676" s="24"/>
    </row>
    <row r="677" spans="2:6">
      <c r="B677" s="51"/>
      <c r="C677" s="51"/>
      <c r="F677" s="24"/>
    </row>
    <row r="678" spans="2:6">
      <c r="B678" s="51"/>
      <c r="C678" s="51"/>
      <c r="F678" s="24"/>
    </row>
    <row r="679" spans="2:6">
      <c r="B679" s="51"/>
      <c r="C679" s="51"/>
      <c r="F679" s="24"/>
    </row>
    <row r="680" spans="2:6">
      <c r="B680" s="51"/>
      <c r="C680" s="51"/>
      <c r="F680" s="24"/>
    </row>
    <row r="681" spans="2:6">
      <c r="B681" s="51"/>
      <c r="C681" s="51"/>
      <c r="F681" s="24"/>
    </row>
    <row r="682" spans="2:6">
      <c r="B682" s="51"/>
      <c r="C682" s="51"/>
      <c r="F682" s="24"/>
    </row>
    <row r="683" spans="2:6">
      <c r="B683" s="51"/>
      <c r="C683" s="51"/>
      <c r="F683" s="24"/>
    </row>
    <row r="684" spans="2:6">
      <c r="B684" s="51"/>
      <c r="C684" s="51"/>
      <c r="F684" s="24"/>
    </row>
    <row r="685" spans="2:6">
      <c r="B685" s="51"/>
      <c r="C685" s="51"/>
      <c r="F685" s="24"/>
    </row>
    <row r="686" spans="2:6">
      <c r="B686" s="51"/>
      <c r="C686" s="51"/>
      <c r="F686" s="24"/>
    </row>
    <row r="687" spans="2:6">
      <c r="B687" s="51"/>
      <c r="C687" s="51"/>
      <c r="F687" s="24"/>
    </row>
    <row r="688" spans="2:6">
      <c r="B688" s="51"/>
      <c r="C688" s="51"/>
      <c r="F688" s="24"/>
    </row>
    <row r="689" spans="2:6">
      <c r="B689" s="51"/>
      <c r="C689" s="51"/>
      <c r="F689" s="24"/>
    </row>
    <row r="690" spans="2:6">
      <c r="B690" s="51"/>
      <c r="C690" s="51"/>
      <c r="F690" s="24"/>
    </row>
    <row r="691" spans="2:6">
      <c r="B691" s="51"/>
      <c r="C691" s="51"/>
      <c r="F691" s="24"/>
    </row>
    <row r="692" spans="2:6">
      <c r="B692" s="51"/>
      <c r="C692" s="51"/>
      <c r="F692" s="24"/>
    </row>
    <row r="693" spans="2:6">
      <c r="B693" s="51"/>
      <c r="C693" s="51"/>
      <c r="F693" s="24"/>
    </row>
    <row r="694" spans="2:6">
      <c r="B694" s="51"/>
      <c r="C694" s="51"/>
      <c r="F694" s="24"/>
    </row>
    <row r="695" spans="2:6">
      <c r="B695" s="51"/>
      <c r="C695" s="51"/>
      <c r="F695" s="24"/>
    </row>
    <row r="696" spans="2:6">
      <c r="B696" s="51"/>
      <c r="C696" s="51"/>
      <c r="F696" s="24"/>
    </row>
    <row r="697" spans="2:6">
      <c r="B697" s="51"/>
      <c r="C697" s="51"/>
      <c r="F697" s="24"/>
    </row>
    <row r="698" spans="2:6">
      <c r="B698" s="51"/>
      <c r="C698" s="51"/>
      <c r="F698" s="24"/>
    </row>
    <row r="699" spans="2:6">
      <c r="B699" s="51"/>
      <c r="C699" s="51"/>
      <c r="F699" s="24"/>
    </row>
    <row r="700" spans="2:6">
      <c r="B700" s="51"/>
      <c r="C700" s="51"/>
      <c r="F700" s="24"/>
    </row>
    <row r="701" spans="2:6">
      <c r="B701" s="51"/>
      <c r="C701" s="51"/>
      <c r="F701" s="24"/>
    </row>
    <row r="702" spans="2:6">
      <c r="B702" s="51"/>
      <c r="C702" s="51"/>
      <c r="F702" s="24"/>
    </row>
    <row r="703" spans="2:6">
      <c r="B703" s="51"/>
      <c r="C703" s="51"/>
      <c r="F703" s="24"/>
    </row>
    <row r="704" spans="2:6">
      <c r="B704" s="51"/>
      <c r="C704" s="51"/>
      <c r="F704" s="24"/>
    </row>
    <row r="705" spans="2:6">
      <c r="B705" s="51"/>
      <c r="C705" s="51"/>
      <c r="F705" s="24"/>
    </row>
    <row r="706" spans="2:6">
      <c r="B706" s="51"/>
      <c r="C706" s="51"/>
      <c r="F706" s="24"/>
    </row>
    <row r="707" spans="2:6">
      <c r="B707" s="51"/>
      <c r="C707" s="51"/>
      <c r="F707" s="24"/>
    </row>
    <row r="708" spans="2:6">
      <c r="B708" s="51"/>
      <c r="C708" s="51"/>
      <c r="F708" s="24"/>
    </row>
    <row r="709" spans="2:6">
      <c r="B709" s="51"/>
      <c r="C709" s="51"/>
      <c r="F709" s="24"/>
    </row>
    <row r="710" spans="2:6">
      <c r="B710" s="51"/>
      <c r="C710" s="51"/>
      <c r="F710" s="24"/>
    </row>
    <row r="711" spans="2:6">
      <c r="B711" s="51"/>
      <c r="C711" s="51"/>
      <c r="F711" s="24"/>
    </row>
    <row r="712" spans="2:6">
      <c r="B712" s="51"/>
      <c r="C712" s="51"/>
      <c r="F712" s="24"/>
    </row>
    <row r="713" spans="2:6">
      <c r="B713" s="51"/>
      <c r="C713" s="51"/>
      <c r="F713" s="24"/>
    </row>
    <row r="714" spans="2:6">
      <c r="B714" s="51"/>
      <c r="C714" s="51"/>
      <c r="F714" s="24"/>
    </row>
    <row r="715" spans="2:6">
      <c r="B715" s="51"/>
      <c r="C715" s="51"/>
      <c r="F715" s="24"/>
    </row>
    <row r="716" spans="2:6">
      <c r="B716" s="51"/>
      <c r="C716" s="51"/>
      <c r="F716" s="24"/>
    </row>
    <row r="717" spans="2:6">
      <c r="B717" s="51"/>
      <c r="C717" s="51"/>
      <c r="F717" s="24"/>
    </row>
    <row r="718" spans="2:6">
      <c r="B718" s="51"/>
      <c r="C718" s="51"/>
      <c r="F718" s="24"/>
    </row>
    <row r="719" spans="2:6">
      <c r="B719" s="51"/>
      <c r="C719" s="51"/>
      <c r="F719" s="24"/>
    </row>
    <row r="720" spans="2:6">
      <c r="B720" s="51"/>
      <c r="C720" s="51"/>
      <c r="F720" s="24"/>
    </row>
    <row r="721" spans="2:6">
      <c r="B721" s="51"/>
      <c r="C721" s="51"/>
      <c r="F721" s="24"/>
    </row>
    <row r="722" spans="2:6">
      <c r="B722" s="51"/>
      <c r="C722" s="51"/>
      <c r="F722" s="24"/>
    </row>
    <row r="723" spans="2:6">
      <c r="B723" s="51"/>
      <c r="C723" s="51"/>
      <c r="F723" s="24"/>
    </row>
    <row r="724" spans="2:6">
      <c r="B724" s="51"/>
      <c r="C724" s="51"/>
      <c r="F724" s="24"/>
    </row>
    <row r="725" spans="2:6">
      <c r="B725" s="51"/>
      <c r="C725" s="51"/>
      <c r="F725" s="24"/>
    </row>
    <row r="726" spans="2:6">
      <c r="B726" s="51"/>
      <c r="C726" s="51"/>
      <c r="F726" s="24"/>
    </row>
    <row r="727" spans="2:6">
      <c r="B727" s="51"/>
      <c r="C727" s="51"/>
      <c r="F727" s="24"/>
    </row>
    <row r="728" spans="2:6">
      <c r="B728" s="51"/>
      <c r="C728" s="51"/>
      <c r="F728" s="24"/>
    </row>
    <row r="729" spans="2:6">
      <c r="B729" s="51"/>
      <c r="C729" s="51"/>
      <c r="F729" s="24"/>
    </row>
    <row r="730" spans="2:6">
      <c r="B730" s="51"/>
      <c r="C730" s="51"/>
      <c r="F730" s="24"/>
    </row>
    <row r="731" spans="2:6">
      <c r="B731" s="51"/>
      <c r="C731" s="51"/>
      <c r="F731" s="24"/>
    </row>
    <row r="732" spans="2:6">
      <c r="B732" s="51"/>
      <c r="C732" s="51"/>
      <c r="F732" s="24"/>
    </row>
    <row r="733" spans="2:6">
      <c r="B733" s="51"/>
      <c r="C733" s="51"/>
      <c r="F733" s="24"/>
    </row>
    <row r="734" spans="2:6">
      <c r="B734" s="51"/>
      <c r="C734" s="51"/>
      <c r="F734" s="24"/>
    </row>
    <row r="735" spans="2:6">
      <c r="B735" s="51"/>
      <c r="C735" s="51"/>
      <c r="F735" s="24"/>
    </row>
    <row r="736" spans="2:6">
      <c r="B736" s="51"/>
      <c r="C736" s="51"/>
      <c r="F736" s="24"/>
    </row>
    <row r="737" spans="2:6">
      <c r="B737" s="51"/>
      <c r="C737" s="51"/>
      <c r="F737" s="24"/>
    </row>
    <row r="738" spans="2:6">
      <c r="B738" s="51"/>
      <c r="C738" s="51"/>
      <c r="F738" s="24"/>
    </row>
    <row r="739" spans="2:6">
      <c r="B739" s="51"/>
      <c r="C739" s="51"/>
      <c r="F739" s="24"/>
    </row>
    <row r="740" spans="2:6">
      <c r="B740" s="51"/>
      <c r="C740" s="51"/>
      <c r="F740" s="24"/>
    </row>
    <row r="741" spans="2:6">
      <c r="B741" s="51"/>
      <c r="C741" s="51"/>
      <c r="F741" s="24"/>
    </row>
    <row r="742" spans="2:6">
      <c r="B742" s="51"/>
      <c r="C742" s="51"/>
      <c r="F742" s="24"/>
    </row>
    <row r="743" spans="2:6">
      <c r="B743" s="51"/>
      <c r="C743" s="51"/>
      <c r="F743" s="24"/>
    </row>
    <row r="744" spans="2:6">
      <c r="B744" s="51"/>
      <c r="C744" s="51"/>
      <c r="F744" s="24"/>
    </row>
    <row r="745" spans="2:6">
      <c r="B745" s="51"/>
      <c r="C745" s="51"/>
      <c r="F745" s="24"/>
    </row>
    <row r="746" spans="2:6">
      <c r="B746" s="51"/>
      <c r="C746" s="51"/>
      <c r="F746" s="24"/>
    </row>
    <row r="747" spans="2:6">
      <c r="B747" s="51"/>
      <c r="C747" s="51"/>
      <c r="F747" s="24"/>
    </row>
    <row r="748" spans="2:6">
      <c r="B748" s="51"/>
      <c r="C748" s="51"/>
      <c r="F748" s="24"/>
    </row>
    <row r="749" spans="2:6">
      <c r="B749" s="51"/>
      <c r="C749" s="51"/>
      <c r="F749" s="24"/>
    </row>
    <row r="750" spans="2:6">
      <c r="B750" s="51"/>
      <c r="C750" s="51"/>
      <c r="F750" s="24"/>
    </row>
    <row r="751" spans="2:6">
      <c r="B751" s="51"/>
      <c r="C751" s="51"/>
      <c r="F751" s="24"/>
    </row>
    <row r="752" spans="2:6">
      <c r="B752" s="51"/>
      <c r="C752" s="51"/>
      <c r="F752" s="24"/>
    </row>
    <row r="753" spans="2:6">
      <c r="B753" s="51"/>
      <c r="C753" s="51"/>
      <c r="F753" s="24"/>
    </row>
    <row r="754" spans="2:6">
      <c r="B754" s="51"/>
      <c r="C754" s="51"/>
      <c r="F754" s="24"/>
    </row>
    <row r="755" spans="2:6">
      <c r="B755" s="51"/>
      <c r="C755" s="51"/>
      <c r="F755" s="24"/>
    </row>
    <row r="756" spans="2:6">
      <c r="B756" s="51"/>
      <c r="C756" s="51"/>
      <c r="F756" s="24"/>
    </row>
    <row r="757" spans="2:6">
      <c r="B757" s="51"/>
      <c r="C757" s="51"/>
      <c r="F757" s="24"/>
    </row>
    <row r="758" spans="2:6">
      <c r="B758" s="51"/>
      <c r="C758" s="51"/>
      <c r="F758" s="24"/>
    </row>
    <row r="759" spans="2:6">
      <c r="B759" s="51"/>
      <c r="C759" s="51"/>
      <c r="F759" s="24"/>
    </row>
    <row r="760" spans="2:6">
      <c r="B760" s="51"/>
      <c r="C760" s="51"/>
      <c r="F760" s="24"/>
    </row>
    <row r="761" spans="2:6">
      <c r="B761" s="51"/>
      <c r="C761" s="51"/>
      <c r="F761" s="24"/>
    </row>
    <row r="762" spans="2:6">
      <c r="B762" s="51"/>
      <c r="C762" s="51"/>
      <c r="F762" s="24"/>
    </row>
    <row r="763" spans="2:6">
      <c r="B763" s="51"/>
      <c r="C763" s="51"/>
      <c r="F763" s="24"/>
    </row>
    <row r="764" spans="2:6">
      <c r="B764" s="51"/>
      <c r="C764" s="51"/>
      <c r="F764" s="24"/>
    </row>
    <row r="765" spans="2:6">
      <c r="B765" s="51"/>
      <c r="C765" s="51"/>
      <c r="F765" s="24"/>
    </row>
    <row r="766" spans="2:6">
      <c r="B766" s="51"/>
      <c r="C766" s="51"/>
      <c r="F766" s="24"/>
    </row>
    <row r="767" spans="2:6">
      <c r="B767" s="51"/>
      <c r="C767" s="51"/>
      <c r="F767" s="24"/>
    </row>
    <row r="768" spans="2:6">
      <c r="B768" s="51"/>
      <c r="C768" s="51"/>
      <c r="F768" s="24"/>
    </row>
    <row r="769" spans="2:6">
      <c r="B769" s="51"/>
      <c r="C769" s="51"/>
      <c r="F769" s="24"/>
    </row>
    <row r="770" spans="2:6">
      <c r="B770" s="51"/>
      <c r="C770" s="51"/>
      <c r="F770" s="24"/>
    </row>
    <row r="771" spans="2:6">
      <c r="B771" s="51"/>
      <c r="C771" s="51"/>
      <c r="F771" s="24"/>
    </row>
    <row r="772" spans="2:6">
      <c r="B772" s="51"/>
      <c r="C772" s="51"/>
      <c r="F772" s="24"/>
    </row>
    <row r="773" spans="2:6">
      <c r="B773" s="51"/>
      <c r="C773" s="51"/>
      <c r="F773" s="24"/>
    </row>
    <row r="774" spans="2:6">
      <c r="B774" s="51"/>
      <c r="C774" s="51"/>
      <c r="F774" s="24"/>
    </row>
    <row r="775" spans="2:6">
      <c r="B775" s="51"/>
      <c r="C775" s="51"/>
      <c r="F775" s="24"/>
    </row>
    <row r="776" spans="2:6">
      <c r="B776" s="51"/>
      <c r="C776" s="51"/>
      <c r="F776" s="24"/>
    </row>
    <row r="777" spans="2:6">
      <c r="B777" s="51"/>
      <c r="C777" s="51"/>
      <c r="F777" s="24"/>
    </row>
    <row r="778" spans="2:6">
      <c r="B778" s="51"/>
      <c r="C778" s="51"/>
      <c r="F778" s="24"/>
    </row>
    <row r="779" spans="2:6">
      <c r="B779" s="51"/>
      <c r="C779" s="51"/>
      <c r="F779" s="24"/>
    </row>
    <row r="780" spans="2:6">
      <c r="B780" s="51"/>
      <c r="C780" s="51"/>
      <c r="F780" s="24"/>
    </row>
    <row r="781" spans="2:6">
      <c r="B781" s="51"/>
      <c r="C781" s="51"/>
      <c r="F781" s="24"/>
    </row>
    <row r="782" spans="2:6">
      <c r="B782" s="51"/>
      <c r="C782" s="51"/>
      <c r="F782" s="24"/>
    </row>
    <row r="783" spans="2:6">
      <c r="B783" s="51"/>
      <c r="C783" s="51"/>
      <c r="F783" s="24"/>
    </row>
    <row r="784" spans="2:6">
      <c r="B784" s="51"/>
      <c r="C784" s="51"/>
      <c r="F784" s="24"/>
    </row>
    <row r="785" spans="2:6">
      <c r="B785" s="51"/>
      <c r="C785" s="51"/>
      <c r="F785" s="24"/>
    </row>
    <row r="786" spans="2:6">
      <c r="B786" s="51"/>
      <c r="C786" s="51"/>
      <c r="F786" s="24"/>
    </row>
    <row r="787" spans="2:6">
      <c r="B787" s="51"/>
      <c r="C787" s="51"/>
      <c r="F787" s="24"/>
    </row>
    <row r="788" spans="2:6">
      <c r="B788" s="51"/>
      <c r="C788" s="51"/>
      <c r="F788" s="24"/>
    </row>
    <row r="789" spans="2:6">
      <c r="B789" s="51"/>
      <c r="C789" s="51"/>
      <c r="F789" s="24"/>
    </row>
    <row r="790" spans="2:6">
      <c r="B790" s="51"/>
      <c r="C790" s="51"/>
      <c r="F790" s="24"/>
    </row>
    <row r="791" spans="2:6">
      <c r="B791" s="51"/>
      <c r="C791" s="51"/>
      <c r="F791" s="24"/>
    </row>
    <row r="792" spans="2:6">
      <c r="B792" s="51"/>
      <c r="C792" s="51"/>
      <c r="F792" s="24"/>
    </row>
    <row r="793" spans="2:6">
      <c r="B793" s="51"/>
      <c r="C793" s="51"/>
      <c r="F793" s="24"/>
    </row>
    <row r="794" spans="2:6">
      <c r="B794" s="51"/>
      <c r="C794" s="51"/>
      <c r="F794" s="24"/>
    </row>
    <row r="795" spans="2:6">
      <c r="B795" s="51"/>
      <c r="C795" s="51"/>
      <c r="F795" s="24"/>
    </row>
    <row r="796" spans="2:6">
      <c r="B796" s="51"/>
      <c r="C796" s="51"/>
      <c r="F796" s="24"/>
    </row>
    <row r="797" spans="2:6">
      <c r="B797" s="51"/>
      <c r="C797" s="51"/>
      <c r="F797" s="24"/>
    </row>
    <row r="798" spans="2:6">
      <c r="B798" s="51"/>
      <c r="C798" s="51"/>
      <c r="F798" s="24"/>
    </row>
    <row r="799" spans="2:6">
      <c r="B799" s="51"/>
      <c r="C799" s="51"/>
      <c r="F799" s="24"/>
    </row>
    <row r="800" spans="2:6">
      <c r="B800" s="51"/>
      <c r="C800" s="51"/>
      <c r="F800" s="24"/>
    </row>
    <row r="801" spans="2:6">
      <c r="B801" s="51"/>
      <c r="C801" s="51"/>
      <c r="F801" s="24"/>
    </row>
    <row r="802" spans="2:6">
      <c r="B802" s="51"/>
      <c r="C802" s="51"/>
      <c r="F802" s="24"/>
    </row>
    <row r="803" spans="2:6">
      <c r="B803" s="51"/>
      <c r="C803" s="51"/>
      <c r="F803" s="24"/>
    </row>
    <row r="804" spans="2:6">
      <c r="B804" s="51"/>
      <c r="C804" s="51"/>
      <c r="F804" s="24"/>
    </row>
    <row r="805" spans="2:6">
      <c r="B805" s="51"/>
      <c r="C805" s="51"/>
      <c r="F805" s="24"/>
    </row>
    <row r="806" spans="2:6">
      <c r="B806" s="51"/>
      <c r="C806" s="51"/>
      <c r="F806" s="24"/>
    </row>
    <row r="807" spans="2:6">
      <c r="B807" s="51"/>
      <c r="C807" s="51"/>
      <c r="F807" s="24"/>
    </row>
    <row r="808" spans="2:6">
      <c r="B808" s="51"/>
      <c r="C808" s="51"/>
      <c r="F808" s="24"/>
    </row>
    <row r="809" spans="2:6">
      <c r="B809" s="51"/>
      <c r="C809" s="51"/>
      <c r="F809" s="24"/>
    </row>
    <row r="810" spans="2:6">
      <c r="B810" s="51"/>
      <c r="C810" s="51"/>
      <c r="F810" s="24"/>
    </row>
    <row r="811" spans="2:6">
      <c r="B811" s="51"/>
      <c r="C811" s="51"/>
      <c r="F811" s="24"/>
    </row>
    <row r="812" spans="2:6">
      <c r="B812" s="51"/>
      <c r="C812" s="51"/>
      <c r="F812" s="24"/>
    </row>
    <row r="813" spans="2:6">
      <c r="B813" s="51"/>
      <c r="C813" s="51"/>
      <c r="F813" s="24"/>
    </row>
    <row r="814" spans="2:6">
      <c r="B814" s="51"/>
      <c r="C814" s="51"/>
      <c r="F814" s="24"/>
    </row>
    <row r="815" spans="2:6">
      <c r="B815" s="51"/>
      <c r="C815" s="51"/>
      <c r="F815" s="24"/>
    </row>
    <row r="816" spans="2:6">
      <c r="B816" s="51"/>
      <c r="C816" s="51"/>
      <c r="F816" s="24"/>
    </row>
    <row r="817" spans="2:6">
      <c r="B817" s="51"/>
      <c r="C817" s="51"/>
      <c r="F817" s="24"/>
    </row>
    <row r="818" spans="2:6">
      <c r="B818" s="51"/>
      <c r="C818" s="51"/>
      <c r="F818" s="24"/>
    </row>
    <row r="819" spans="2:6">
      <c r="B819" s="51"/>
      <c r="C819" s="51"/>
      <c r="F819" s="24"/>
    </row>
    <row r="820" spans="2:6">
      <c r="B820" s="51"/>
      <c r="C820" s="51"/>
      <c r="F820" s="24"/>
    </row>
    <row r="821" spans="2:6">
      <c r="B821" s="51"/>
      <c r="C821" s="51"/>
      <c r="F821" s="24"/>
    </row>
    <row r="822" spans="2:6">
      <c r="B822" s="51"/>
      <c r="C822" s="51"/>
      <c r="F822" s="24"/>
    </row>
    <row r="823" spans="2:6">
      <c r="B823" s="51"/>
      <c r="C823" s="51"/>
      <c r="F823" s="24"/>
    </row>
    <row r="824" spans="2:6">
      <c r="B824" s="51"/>
      <c r="C824" s="51"/>
      <c r="F824" s="24"/>
    </row>
    <row r="825" spans="2:6">
      <c r="B825" s="51"/>
      <c r="C825" s="51"/>
      <c r="F825" s="24"/>
    </row>
    <row r="826" spans="2:6">
      <c r="B826" s="51"/>
      <c r="C826" s="51"/>
      <c r="F826" s="24"/>
    </row>
    <row r="827" spans="2:6">
      <c r="B827" s="51"/>
      <c r="C827" s="51"/>
      <c r="F827" s="24"/>
    </row>
    <row r="828" spans="2:6">
      <c r="B828" s="51"/>
      <c r="C828" s="51"/>
      <c r="F828" s="24"/>
    </row>
    <row r="829" spans="2:6">
      <c r="B829" s="51"/>
      <c r="C829" s="51"/>
      <c r="F829" s="24"/>
    </row>
    <row r="830" spans="2:6">
      <c r="B830" s="51"/>
      <c r="C830" s="51"/>
      <c r="F830" s="24"/>
    </row>
    <row r="831" spans="2:6">
      <c r="B831" s="51"/>
      <c r="C831" s="51"/>
      <c r="F831" s="24"/>
    </row>
    <row r="832" spans="2:6">
      <c r="B832" s="51"/>
      <c r="C832" s="51"/>
      <c r="F832" s="24"/>
    </row>
    <row r="833" spans="2:6">
      <c r="B833" s="51"/>
      <c r="C833" s="51"/>
      <c r="F833" s="24"/>
    </row>
    <row r="834" spans="2:6">
      <c r="B834" s="51"/>
      <c r="C834" s="51"/>
      <c r="F834" s="24"/>
    </row>
    <row r="835" spans="2:6">
      <c r="B835" s="51"/>
      <c r="C835" s="51"/>
      <c r="F835" s="24"/>
    </row>
    <row r="836" spans="2:6">
      <c r="B836" s="51"/>
      <c r="C836" s="51"/>
      <c r="F836" s="24"/>
    </row>
    <row r="837" spans="2:6">
      <c r="B837" s="51"/>
      <c r="C837" s="51"/>
      <c r="F837" s="24"/>
    </row>
    <row r="838" spans="2:6">
      <c r="B838" s="51"/>
      <c r="C838" s="51"/>
      <c r="F838" s="24"/>
    </row>
    <row r="839" spans="2:6">
      <c r="B839" s="51"/>
      <c r="C839" s="51"/>
      <c r="F839" s="24"/>
    </row>
    <row r="840" spans="2:6">
      <c r="B840" s="51"/>
      <c r="C840" s="51"/>
      <c r="F840" s="24"/>
    </row>
    <row r="841" spans="2:6">
      <c r="B841" s="51"/>
      <c r="C841" s="51"/>
      <c r="F841" s="24"/>
    </row>
    <row r="842" spans="2:6">
      <c r="B842" s="51"/>
      <c r="C842" s="51"/>
      <c r="F842" s="24"/>
    </row>
    <row r="843" spans="2:6">
      <c r="B843" s="51"/>
      <c r="C843" s="51"/>
      <c r="F843" s="24"/>
    </row>
    <row r="844" spans="2:6">
      <c r="B844" s="51"/>
      <c r="C844" s="51"/>
      <c r="F844" s="24"/>
    </row>
    <row r="845" spans="2:6">
      <c r="B845" s="51"/>
      <c r="C845" s="51"/>
      <c r="F845" s="24"/>
    </row>
    <row r="846" spans="2:6">
      <c r="B846" s="51"/>
      <c r="C846" s="51"/>
      <c r="F846" s="24"/>
    </row>
    <row r="847" spans="2:6">
      <c r="B847" s="51"/>
      <c r="C847" s="51"/>
      <c r="F847" s="24"/>
    </row>
    <row r="848" spans="2:6">
      <c r="B848" s="51"/>
      <c r="C848" s="51"/>
      <c r="F848" s="24"/>
    </row>
    <row r="849" spans="2:6">
      <c r="B849" s="51"/>
      <c r="C849" s="51"/>
      <c r="F849" s="24"/>
    </row>
    <row r="850" spans="2:6">
      <c r="B850" s="51"/>
      <c r="C850" s="51"/>
      <c r="F850" s="24"/>
    </row>
    <row r="851" spans="2:6">
      <c r="B851" s="51"/>
      <c r="C851" s="51"/>
      <c r="F851" s="24"/>
    </row>
    <row r="852" spans="2:6">
      <c r="B852" s="51"/>
      <c r="C852" s="51"/>
      <c r="F852" s="24"/>
    </row>
    <row r="853" spans="2:6">
      <c r="B853" s="51"/>
      <c r="C853" s="51"/>
      <c r="F853" s="24"/>
    </row>
    <row r="854" spans="2:6">
      <c r="B854" s="51"/>
      <c r="C854" s="51"/>
      <c r="F854" s="24"/>
    </row>
    <row r="855" spans="2:6">
      <c r="B855" s="51"/>
      <c r="C855" s="51"/>
      <c r="F855" s="24"/>
    </row>
    <row r="856" spans="2:6">
      <c r="B856" s="51"/>
      <c r="C856" s="51"/>
      <c r="F856" s="24"/>
    </row>
    <row r="857" spans="2:6">
      <c r="B857" s="51"/>
      <c r="C857" s="51"/>
      <c r="F857" s="24"/>
    </row>
    <row r="858" spans="2:6">
      <c r="B858" s="51"/>
      <c r="C858" s="51"/>
      <c r="F858" s="24"/>
    </row>
    <row r="859" spans="2:6">
      <c r="B859" s="51"/>
      <c r="C859" s="51"/>
      <c r="F859" s="24"/>
    </row>
    <row r="860" spans="2:6">
      <c r="B860" s="51"/>
      <c r="C860" s="51"/>
      <c r="F860" s="24"/>
    </row>
    <row r="861" spans="2:6">
      <c r="B861" s="51"/>
      <c r="C861" s="51"/>
      <c r="F861" s="24"/>
    </row>
    <row r="862" spans="2:6">
      <c r="B862" s="51"/>
      <c r="C862" s="51"/>
      <c r="F862" s="24"/>
    </row>
    <row r="863" spans="2:6">
      <c r="B863" s="51"/>
      <c r="C863" s="51"/>
      <c r="F863" s="24"/>
    </row>
    <row r="864" spans="2:6">
      <c r="B864" s="51"/>
      <c r="C864" s="51"/>
      <c r="F864" s="24"/>
    </row>
    <row r="865" spans="2:6">
      <c r="B865" s="51"/>
      <c r="C865" s="51"/>
      <c r="F865" s="24"/>
    </row>
    <row r="866" spans="2:6">
      <c r="B866" s="51"/>
      <c r="C866" s="51"/>
      <c r="F866" s="24"/>
    </row>
    <row r="867" spans="2:6">
      <c r="B867" s="51"/>
      <c r="C867" s="51"/>
      <c r="F867" s="24"/>
    </row>
    <row r="868" spans="2:6">
      <c r="B868" s="51"/>
      <c r="C868" s="51"/>
      <c r="F868" s="24"/>
    </row>
    <row r="869" spans="2:6">
      <c r="B869" s="51"/>
      <c r="C869" s="51"/>
      <c r="F869" s="24"/>
    </row>
    <row r="870" spans="2:6">
      <c r="B870" s="51"/>
      <c r="C870" s="51"/>
      <c r="F870" s="24"/>
    </row>
    <row r="871" spans="2:6">
      <c r="B871" s="51"/>
      <c r="C871" s="51"/>
      <c r="F871" s="24"/>
    </row>
    <row r="872" spans="2:6">
      <c r="B872" s="51"/>
      <c r="C872" s="51"/>
      <c r="F872" s="24"/>
    </row>
    <row r="873" spans="2:6">
      <c r="B873" s="51"/>
      <c r="C873" s="51"/>
      <c r="F873" s="24"/>
    </row>
    <row r="874" spans="2:6">
      <c r="B874" s="51"/>
      <c r="C874" s="51"/>
      <c r="F874" s="24"/>
    </row>
    <row r="875" spans="2:6">
      <c r="B875" s="51"/>
      <c r="C875" s="51"/>
      <c r="F875" s="24"/>
    </row>
    <row r="876" spans="2:6">
      <c r="B876" s="51"/>
      <c r="C876" s="51"/>
      <c r="F876" s="24"/>
    </row>
    <row r="877" spans="2:6">
      <c r="B877" s="51"/>
      <c r="C877" s="51"/>
      <c r="F877" s="24"/>
    </row>
    <row r="878" spans="2:6">
      <c r="B878" s="51"/>
      <c r="C878" s="51"/>
      <c r="F878" s="24"/>
    </row>
    <row r="879" spans="2:6">
      <c r="B879" s="51"/>
      <c r="C879" s="51"/>
      <c r="F879" s="24"/>
    </row>
    <row r="880" spans="2:6">
      <c r="B880" s="51"/>
      <c r="C880" s="51"/>
      <c r="F880" s="24"/>
    </row>
    <row r="881" spans="2:6">
      <c r="B881" s="51"/>
      <c r="C881" s="51"/>
      <c r="F881" s="24"/>
    </row>
    <row r="882" spans="2:6">
      <c r="B882" s="51"/>
      <c r="C882" s="51"/>
      <c r="F882" s="24"/>
    </row>
    <row r="883" spans="2:6">
      <c r="B883" s="51"/>
      <c r="C883" s="51"/>
      <c r="F883" s="24"/>
    </row>
    <row r="884" spans="2:6">
      <c r="B884" s="51"/>
      <c r="C884" s="51"/>
      <c r="F884" s="24"/>
    </row>
    <row r="885" spans="2:6">
      <c r="B885" s="51"/>
      <c r="C885" s="51"/>
      <c r="F885" s="24"/>
    </row>
    <row r="886" spans="2:6">
      <c r="B886" s="51"/>
      <c r="C886" s="51"/>
      <c r="F886" s="24"/>
    </row>
    <row r="887" spans="2:6">
      <c r="B887" s="51"/>
      <c r="C887" s="51"/>
      <c r="F887" s="24"/>
    </row>
    <row r="888" spans="2:6">
      <c r="B888" s="51"/>
      <c r="C888" s="51"/>
      <c r="F888" s="24"/>
    </row>
    <row r="889" spans="2:6">
      <c r="B889" s="51"/>
      <c r="C889" s="51"/>
      <c r="F889" s="24"/>
    </row>
    <row r="890" spans="2:6">
      <c r="B890" s="51"/>
      <c r="C890" s="51"/>
      <c r="F890" s="24"/>
    </row>
    <row r="891" spans="2:6">
      <c r="B891" s="51"/>
      <c r="C891" s="51"/>
      <c r="F891" s="24"/>
    </row>
    <row r="892" spans="2:6">
      <c r="B892" s="51"/>
      <c r="C892" s="51"/>
      <c r="F892" s="24"/>
    </row>
    <row r="893" spans="2:6">
      <c r="B893" s="51"/>
      <c r="C893" s="51"/>
      <c r="F893" s="24"/>
    </row>
    <row r="894" spans="2:6">
      <c r="B894" s="51"/>
      <c r="C894" s="51"/>
      <c r="F894" s="24"/>
    </row>
    <row r="895" spans="2:6">
      <c r="B895" s="51"/>
      <c r="C895" s="51"/>
      <c r="F895" s="24"/>
    </row>
    <row r="896" spans="2:6">
      <c r="B896" s="51"/>
      <c r="C896" s="51"/>
      <c r="F896" s="24"/>
    </row>
    <row r="897" spans="2:6">
      <c r="B897" s="51"/>
      <c r="C897" s="51"/>
      <c r="F897" s="24"/>
    </row>
    <row r="898" spans="2:6">
      <c r="B898" s="51"/>
      <c r="C898" s="51"/>
      <c r="F898" s="24"/>
    </row>
    <row r="899" spans="2:6">
      <c r="B899" s="51"/>
      <c r="C899" s="51"/>
      <c r="F899" s="24"/>
    </row>
    <row r="900" spans="2:6">
      <c r="B900" s="51"/>
      <c r="C900" s="51"/>
      <c r="F900" s="24"/>
    </row>
    <row r="901" spans="2:6">
      <c r="B901" s="51"/>
      <c r="C901" s="51"/>
      <c r="F901" s="24"/>
    </row>
    <row r="902" spans="2:6">
      <c r="B902" s="51"/>
      <c r="C902" s="51"/>
      <c r="F902" s="24"/>
    </row>
    <row r="903" spans="2:6">
      <c r="B903" s="51"/>
      <c r="C903" s="51"/>
      <c r="F903" s="24"/>
    </row>
    <row r="904" spans="2:6">
      <c r="B904" s="51"/>
      <c r="C904" s="51"/>
      <c r="F904" s="24"/>
    </row>
    <row r="905" spans="2:6">
      <c r="B905" s="51"/>
      <c r="C905" s="51"/>
      <c r="F905" s="24"/>
    </row>
    <row r="906" spans="2:6">
      <c r="B906" s="51"/>
      <c r="C906" s="51"/>
      <c r="F906" s="24"/>
    </row>
    <row r="907" spans="2:6">
      <c r="B907" s="51"/>
      <c r="C907" s="51"/>
      <c r="F907" s="24"/>
    </row>
    <row r="908" spans="2:6">
      <c r="B908" s="51"/>
      <c r="C908" s="51"/>
      <c r="F908" s="24"/>
    </row>
    <row r="909" spans="2:6">
      <c r="B909" s="51"/>
      <c r="C909" s="51"/>
      <c r="F909" s="24"/>
    </row>
    <row r="910" spans="2:6">
      <c r="B910" s="51"/>
      <c r="C910" s="51"/>
      <c r="F910" s="24"/>
    </row>
    <row r="911" spans="2:6">
      <c r="B911" s="51"/>
      <c r="C911" s="51"/>
      <c r="F911" s="24"/>
    </row>
    <row r="912" spans="2:6">
      <c r="B912" s="51"/>
      <c r="C912" s="51"/>
      <c r="F912" s="24"/>
    </row>
    <row r="913" spans="2:6">
      <c r="B913" s="51"/>
      <c r="C913" s="51"/>
      <c r="F913" s="24"/>
    </row>
    <row r="914" spans="2:6">
      <c r="B914" s="51"/>
      <c r="C914" s="51"/>
      <c r="F914" s="24"/>
    </row>
    <row r="915" spans="2:6">
      <c r="B915" s="51"/>
      <c r="C915" s="51"/>
      <c r="F915" s="24"/>
    </row>
    <row r="916" spans="2:6">
      <c r="B916" s="51"/>
      <c r="C916" s="51"/>
      <c r="F916" s="24"/>
    </row>
    <row r="917" spans="2:6">
      <c r="B917" s="51"/>
      <c r="C917" s="51"/>
      <c r="F917" s="24"/>
    </row>
    <row r="918" spans="2:6">
      <c r="B918" s="51"/>
      <c r="C918" s="51"/>
      <c r="F918" s="24"/>
    </row>
    <row r="919" spans="2:6">
      <c r="B919" s="51"/>
      <c r="C919" s="51"/>
      <c r="F919" s="24"/>
    </row>
    <row r="920" spans="2:6">
      <c r="B920" s="51"/>
      <c r="C920" s="51"/>
      <c r="F920" s="24"/>
    </row>
    <row r="921" spans="2:6">
      <c r="B921" s="51"/>
      <c r="C921" s="51"/>
      <c r="F921" s="24"/>
    </row>
    <row r="922" spans="2:6">
      <c r="B922" s="51"/>
      <c r="C922" s="51"/>
      <c r="F922" s="24"/>
    </row>
    <row r="923" spans="2:6">
      <c r="B923" s="51"/>
      <c r="C923" s="51"/>
      <c r="F923" s="24"/>
    </row>
    <row r="924" spans="2:6">
      <c r="B924" s="51"/>
      <c r="C924" s="51"/>
      <c r="F924" s="24"/>
    </row>
    <row r="925" spans="2:6">
      <c r="B925" s="51"/>
      <c r="C925" s="51"/>
      <c r="F925" s="24"/>
    </row>
    <row r="926" spans="2:6">
      <c r="B926" s="51"/>
      <c r="C926" s="51"/>
      <c r="F926" s="24"/>
    </row>
    <row r="927" spans="2:6">
      <c r="B927" s="51"/>
      <c r="C927" s="51"/>
      <c r="F927" s="24"/>
    </row>
    <row r="928" spans="2:6">
      <c r="B928" s="51"/>
      <c r="C928" s="51"/>
      <c r="F928" s="24"/>
    </row>
    <row r="929" spans="2:6">
      <c r="B929" s="51"/>
      <c r="C929" s="51"/>
      <c r="F929" s="24"/>
    </row>
    <row r="930" spans="2:6">
      <c r="B930" s="51"/>
      <c r="C930" s="51"/>
      <c r="F930" s="24"/>
    </row>
    <row r="931" spans="2:6">
      <c r="B931" s="51"/>
      <c r="C931" s="51"/>
      <c r="F931" s="24"/>
    </row>
    <row r="932" spans="2:6">
      <c r="B932" s="51"/>
      <c r="C932" s="51"/>
      <c r="F932" s="24"/>
    </row>
    <row r="933" spans="2:6">
      <c r="B933" s="51"/>
      <c r="C933" s="51"/>
      <c r="F933" s="24"/>
    </row>
    <row r="934" spans="2:6">
      <c r="B934" s="51"/>
      <c r="C934" s="51"/>
      <c r="F934" s="24"/>
    </row>
    <row r="935" spans="2:6">
      <c r="B935" s="51"/>
      <c r="C935" s="51"/>
      <c r="F935" s="24"/>
    </row>
    <row r="936" spans="2:6">
      <c r="B936" s="51"/>
      <c r="C936" s="51"/>
      <c r="F936" s="24"/>
    </row>
    <row r="937" spans="2:6">
      <c r="B937" s="51"/>
      <c r="C937" s="51"/>
      <c r="F937" s="24"/>
    </row>
    <row r="938" spans="2:6">
      <c r="B938" s="51"/>
      <c r="C938" s="51"/>
      <c r="F938" s="24"/>
    </row>
    <row r="939" spans="2:6">
      <c r="B939" s="51"/>
      <c r="C939" s="51"/>
      <c r="F939" s="24"/>
    </row>
    <row r="940" spans="2:6">
      <c r="B940" s="51"/>
      <c r="C940" s="51"/>
      <c r="F940" s="24"/>
    </row>
    <row r="941" spans="2:6">
      <c r="B941" s="51"/>
      <c r="C941" s="51"/>
      <c r="F941" s="24"/>
    </row>
    <row r="942" spans="2:6">
      <c r="B942" s="51"/>
      <c r="C942" s="51"/>
      <c r="F942" s="24"/>
    </row>
    <row r="943" spans="2:6">
      <c r="B943" s="51"/>
      <c r="C943" s="51"/>
      <c r="F943" s="24"/>
    </row>
    <row r="944" spans="2:6">
      <c r="B944" s="51"/>
      <c r="C944" s="51"/>
      <c r="F944" s="24"/>
    </row>
    <row r="945" spans="2:6">
      <c r="B945" s="51"/>
      <c r="C945" s="51"/>
      <c r="F945" s="24"/>
    </row>
    <row r="946" spans="2:6">
      <c r="B946" s="51"/>
      <c r="C946" s="51"/>
      <c r="F946" s="24"/>
    </row>
    <row r="947" spans="2:6">
      <c r="B947" s="51"/>
      <c r="C947" s="51"/>
      <c r="F947" s="24"/>
    </row>
    <row r="948" spans="2:6">
      <c r="B948" s="51"/>
      <c r="C948" s="51"/>
      <c r="F948" s="24"/>
    </row>
    <row r="949" spans="2:6">
      <c r="B949" s="51"/>
      <c r="C949" s="51"/>
      <c r="F949" s="24"/>
    </row>
    <row r="950" spans="2:6">
      <c r="B950" s="51"/>
      <c r="C950" s="51"/>
      <c r="F950" s="24"/>
    </row>
    <row r="951" spans="2:6">
      <c r="B951" s="51"/>
      <c r="C951" s="51"/>
      <c r="F951" s="24"/>
    </row>
    <row r="952" spans="2:6">
      <c r="B952" s="51"/>
      <c r="C952" s="51"/>
      <c r="F952" s="24"/>
    </row>
    <row r="953" spans="2:6">
      <c r="B953" s="51"/>
      <c r="C953" s="51"/>
      <c r="F953" s="24"/>
    </row>
    <row r="954" spans="2:6">
      <c r="B954" s="51"/>
      <c r="C954" s="51"/>
      <c r="F954" s="24"/>
    </row>
    <row r="955" spans="2:6">
      <c r="B955" s="51"/>
      <c r="C955" s="51"/>
      <c r="F955" s="24"/>
    </row>
    <row r="956" spans="2:6">
      <c r="B956" s="51"/>
      <c r="C956" s="51"/>
      <c r="F956" s="24"/>
    </row>
    <row r="957" spans="2:6">
      <c r="B957" s="51"/>
      <c r="C957" s="51"/>
      <c r="F957" s="24"/>
    </row>
    <row r="958" spans="2:6">
      <c r="B958" s="51"/>
      <c r="C958" s="51"/>
      <c r="F958" s="24"/>
    </row>
    <row r="959" spans="2:6">
      <c r="B959" s="51"/>
      <c r="C959" s="51"/>
      <c r="F959" s="24"/>
    </row>
    <row r="960" spans="2:6">
      <c r="B960" s="51"/>
      <c r="C960" s="51"/>
      <c r="F960" s="24"/>
    </row>
    <row r="961" spans="2:6">
      <c r="B961" s="51"/>
      <c r="C961" s="51"/>
      <c r="F961" s="24"/>
    </row>
    <row r="962" spans="2:6">
      <c r="B962" s="51"/>
      <c r="C962" s="51"/>
      <c r="F962" s="24"/>
    </row>
    <row r="963" spans="2:6">
      <c r="B963" s="51"/>
      <c r="C963" s="51"/>
      <c r="F963" s="24"/>
    </row>
    <row r="964" spans="2:6">
      <c r="B964" s="51"/>
      <c r="C964" s="51"/>
      <c r="F964" s="24"/>
    </row>
    <row r="965" spans="2:6">
      <c r="B965" s="51"/>
      <c r="C965" s="51"/>
      <c r="F965" s="24"/>
    </row>
    <row r="966" spans="2:6">
      <c r="B966" s="51"/>
      <c r="C966" s="51"/>
      <c r="F966" s="24"/>
    </row>
    <row r="967" spans="2:6">
      <c r="B967" s="51"/>
      <c r="C967" s="51"/>
      <c r="F967" s="24"/>
    </row>
    <row r="968" spans="2:6">
      <c r="B968" s="51"/>
      <c r="C968" s="51"/>
      <c r="F968" s="24"/>
    </row>
    <row r="969" spans="2:6">
      <c r="B969" s="51"/>
      <c r="C969" s="51"/>
      <c r="F969" s="24"/>
    </row>
    <row r="970" spans="2:6">
      <c r="B970" s="51"/>
      <c r="C970" s="51"/>
      <c r="F970" s="24"/>
    </row>
    <row r="971" spans="2:6">
      <c r="B971" s="51"/>
      <c r="C971" s="51"/>
      <c r="F971" s="24"/>
    </row>
    <row r="972" spans="2:6">
      <c r="B972" s="51"/>
      <c r="C972" s="51"/>
      <c r="F972" s="24"/>
    </row>
    <row r="973" spans="2:6">
      <c r="B973" s="51"/>
      <c r="C973" s="51"/>
      <c r="F973" s="24"/>
    </row>
    <row r="974" spans="2:6">
      <c r="B974" s="51"/>
      <c r="C974" s="51"/>
      <c r="F974" s="24"/>
    </row>
    <row r="975" spans="2:6">
      <c r="B975" s="51"/>
      <c r="C975" s="51"/>
      <c r="F975" s="24"/>
    </row>
    <row r="976" spans="2:6">
      <c r="B976" s="51"/>
      <c r="C976" s="51"/>
      <c r="F976" s="24"/>
    </row>
    <row r="977" spans="2:6">
      <c r="B977" s="51"/>
      <c r="C977" s="51"/>
      <c r="F977" s="24"/>
    </row>
    <row r="978" spans="2:6">
      <c r="B978" s="51"/>
      <c r="C978" s="51"/>
      <c r="F978" s="24"/>
    </row>
    <row r="979" spans="2:6">
      <c r="B979" s="51"/>
      <c r="C979" s="51"/>
      <c r="F979" s="24"/>
    </row>
    <row r="980" spans="2:6">
      <c r="B980" s="51"/>
      <c r="C980" s="51"/>
      <c r="F980" s="24"/>
    </row>
    <row r="981" spans="2:6">
      <c r="B981" s="51"/>
      <c r="C981" s="51"/>
      <c r="F981" s="24"/>
    </row>
    <row r="982" spans="2:6">
      <c r="B982" s="51"/>
      <c r="C982" s="51"/>
      <c r="F982" s="24"/>
    </row>
    <row r="983" spans="2:6">
      <c r="B983" s="51"/>
      <c r="C983" s="51"/>
      <c r="F983" s="24"/>
    </row>
    <row r="984" spans="2:6">
      <c r="B984" s="51"/>
      <c r="C984" s="51"/>
      <c r="F984" s="24"/>
    </row>
    <row r="985" spans="2:6">
      <c r="B985" s="51"/>
      <c r="C985" s="51"/>
      <c r="F985" s="24"/>
    </row>
    <row r="986" spans="2:6">
      <c r="B986" s="51"/>
      <c r="C986" s="51"/>
      <c r="F986" s="24"/>
    </row>
    <row r="987" spans="2:6">
      <c r="B987" s="51"/>
      <c r="C987" s="51"/>
      <c r="F987" s="24"/>
    </row>
    <row r="988" spans="2:6">
      <c r="B988" s="51"/>
      <c r="C988" s="51"/>
      <c r="F988" s="24"/>
    </row>
    <row r="989" spans="2:6">
      <c r="B989" s="51"/>
      <c r="C989" s="51"/>
      <c r="F989" s="24"/>
    </row>
    <row r="990" spans="2:6">
      <c r="B990" s="51"/>
      <c r="C990" s="51"/>
      <c r="F990" s="24"/>
    </row>
    <row r="991" spans="2:6">
      <c r="B991" s="51"/>
      <c r="C991" s="51"/>
      <c r="F991" s="24"/>
    </row>
    <row r="992" spans="2:6">
      <c r="B992" s="51"/>
      <c r="C992" s="51"/>
      <c r="F992" s="24"/>
    </row>
    <row r="993" spans="2:6">
      <c r="B993" s="51"/>
      <c r="C993" s="51"/>
      <c r="F993" s="24"/>
    </row>
    <row r="994" spans="2:6">
      <c r="B994" s="51"/>
      <c r="C994" s="51"/>
      <c r="F994" s="24"/>
    </row>
    <row r="995" spans="2:6">
      <c r="B995" s="51"/>
      <c r="C995" s="51"/>
      <c r="F995" s="24"/>
    </row>
    <row r="996" spans="2:6">
      <c r="B996" s="51"/>
      <c r="C996" s="51"/>
      <c r="F996" s="24"/>
    </row>
    <row r="997" spans="2:6">
      <c r="B997" s="51"/>
      <c r="C997" s="51"/>
      <c r="F997" s="24"/>
    </row>
    <row r="998" spans="2:6">
      <c r="B998" s="51"/>
      <c r="C998" s="51"/>
      <c r="F998" s="24"/>
    </row>
    <row r="999" spans="2:6">
      <c r="B999" s="51"/>
      <c r="C999" s="51"/>
      <c r="F999" s="24"/>
    </row>
    <row r="1000" spans="2:6">
      <c r="B1000" s="51"/>
      <c r="C1000" s="51"/>
      <c r="F1000" s="24"/>
    </row>
  </sheetData>
  <hyperlinks>
    <hyperlink ref="D5" r:id="rId1" xr:uid="{77362D2A-BFF5-4874-A300-C9C42E40F9E2}"/>
    <hyperlink ref="D3" r:id="rId2" xr:uid="{3A196CAB-E214-49BB-836F-9B01F7169D8D}"/>
    <hyperlink ref="D7" r:id="rId3" xr:uid="{A24DE5EB-5360-4EC2-94E2-69BA1BF6233F}"/>
    <hyperlink ref="D8" r:id="rId4" xr:uid="{65D503D6-3951-4E3F-A7E8-571BFB404759}"/>
    <hyperlink ref="D10" r:id="rId5" xr:uid="{FC8D819F-919D-4C70-BAAF-71D70B5AA0C3}"/>
    <hyperlink ref="D11" r:id="rId6" xr:uid="{D5F2805D-BFBE-4D83-8A68-30957E6E4221}"/>
    <hyperlink ref="D14" r:id="rId7" xr:uid="{CB9F011A-6CED-4665-92C8-9CFE5F945827}"/>
    <hyperlink ref="D16" r:id="rId8" xr:uid="{2197B29D-93BC-4391-8512-B7C829756FBC}"/>
    <hyperlink ref="D17" r:id="rId9" xr:uid="{D9BBB305-EDD6-473F-A34D-14BBE625886C}"/>
    <hyperlink ref="D19" r:id="rId10" tooltip="Persistent link using digital object identifier" xr:uid="{498FAF5C-E61D-43C7-90AC-E74479E6678A}"/>
    <hyperlink ref="D20" r:id="rId11" xr:uid="{D4BA08F6-3C72-4E7B-BAC3-30EBBE711540}"/>
    <hyperlink ref="D22" r:id="rId12" xr:uid="{C930CA34-DEC3-4243-931F-F04145041ADF}"/>
    <hyperlink ref="D23" r:id="rId13" tooltip="Persistent link using digital object identifier" xr:uid="{4A96C369-6DE5-4AE7-BC34-DF97938E50E4}"/>
    <hyperlink ref="D26" r:id="rId14" xr:uid="{4E3DD55F-C967-40E2-9AD1-0E9BF97A9025}"/>
    <hyperlink ref="D18" r:id="rId15" xr:uid="{239DE5D0-F3F8-491B-B748-1DEA51C1614C}"/>
    <hyperlink ref="D25" r:id="rId16" xr:uid="{21052BEB-A9D1-40C5-856A-F5EF26629606}"/>
    <hyperlink ref="D24" r:id="rId17" xr:uid="{8A78BCB7-FD87-4CE9-97D9-C0CED2A99748}"/>
    <hyperlink ref="D28" r:id="rId18" xr:uid="{88663185-7657-4EA2-A93F-CB69E26C0167}"/>
    <hyperlink ref="D29" r:id="rId19" xr:uid="{D73DDA0A-B905-45B6-897A-61CB1A3B94F4}"/>
    <hyperlink ref="D30" r:id="rId20" xr:uid="{F5D4C9BB-D1E3-4231-BB89-5121B120BBC4}"/>
    <hyperlink ref="D31" r:id="rId21" xr:uid="{7F1E803F-44CD-40D7-A041-8946B689D75F}"/>
    <hyperlink ref="D32" r:id="rId22" xr:uid="{955EFFF8-494D-42D1-89B9-2769522C50FA}"/>
    <hyperlink ref="D34" r:id="rId23" xr:uid="{88E0770F-E402-414D-9550-29BCD8194145}"/>
    <hyperlink ref="D37" r:id="rId24" display="https://pubs.acs.org/doi/10.1021/acsengineeringau.1c00002" xr:uid="{5528B1F7-24F9-4891-A872-1E1B69B4E447}"/>
    <hyperlink ref="D39" r:id="rId25" xr:uid="{C3A34A35-76F1-444F-8D0F-99A1912438C9}"/>
    <hyperlink ref="D40" r:id="rId26" xr:uid="{E1BC9F66-9827-498E-BDC1-CCF0965ABAE3}"/>
    <hyperlink ref="D41" r:id="rId27" xr:uid="{F90413F7-5924-4E42-91CB-4C57343D86F4}"/>
    <hyperlink ref="D42" r:id="rId28" xr:uid="{94C5BA50-D990-4651-9019-90BDFF7A7FDF}"/>
  </hyperlinks>
  <pageMargins left="0" right="0" top="0" bottom="0" header="0" footer="0"/>
  <legacyDrawing r:id="rId29"/>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0C2BB-7DE7-4DD9-A374-6A85939C70BC}">
  <sheetPr>
    <tabColor theme="8" tint="0.59999389629810485"/>
  </sheetPr>
  <dimension ref="A1:AV14"/>
  <sheetViews>
    <sheetView workbookViewId="0">
      <selection activeCell="AK4" sqref="AK4"/>
    </sheetView>
  </sheetViews>
  <sheetFormatPr defaultColWidth="8.5546875" defaultRowHeight="13.2"/>
  <cols>
    <col min="1" max="1" width="11.5546875" bestFit="1" customWidth="1"/>
    <col min="2" max="2" width="13.5546875" customWidth="1"/>
    <col min="3" max="3" width="13.44140625" customWidth="1"/>
    <col min="4" max="4" width="10.44140625" customWidth="1"/>
    <col min="5" max="5" width="38.5546875" bestFit="1" customWidth="1"/>
    <col min="6" max="6" width="18.5546875" bestFit="1" customWidth="1"/>
    <col min="7" max="7" width="13.44140625" customWidth="1"/>
    <col min="8" max="8" width="36.44140625" customWidth="1"/>
    <col min="9" max="9" width="13.44140625" customWidth="1"/>
    <col min="10" max="10" width="16.5546875" customWidth="1"/>
    <col min="11" max="11" width="24.44140625" bestFit="1" customWidth="1"/>
    <col min="12" max="12" width="12.5546875" customWidth="1"/>
    <col min="13" max="13" width="11.44140625" bestFit="1" customWidth="1"/>
    <col min="14" max="14" width="15.44140625" bestFit="1" customWidth="1"/>
    <col min="15" max="15" width="12.5546875" customWidth="1"/>
    <col min="16" max="16" width="20.5546875" bestFit="1" customWidth="1"/>
    <col min="17" max="17" width="16.5546875" customWidth="1"/>
    <col min="18" max="18" width="17.44140625" customWidth="1"/>
    <col min="19" max="19" width="12.5546875" customWidth="1"/>
    <col min="20" max="20" width="41.5546875" bestFit="1" customWidth="1"/>
    <col min="21" max="21" width="19.5546875" bestFit="1" customWidth="1"/>
    <col min="22" max="22" width="14" bestFit="1" customWidth="1"/>
    <col min="23" max="26" width="14" customWidth="1"/>
    <col min="27" max="27" width="9.44140625" customWidth="1"/>
    <col min="28" max="28" width="11.44140625" bestFit="1" customWidth="1"/>
    <col min="29" max="30" width="13.44140625" customWidth="1"/>
    <col min="31" max="31" width="12.5546875" bestFit="1" customWidth="1"/>
    <col min="32" max="32" width="13.44140625" bestFit="1" customWidth="1"/>
    <col min="33" max="33" width="11.5546875" customWidth="1"/>
    <col min="34" max="34" width="14.44140625" bestFit="1" customWidth="1"/>
    <col min="35" max="35" width="13.5546875" bestFit="1" customWidth="1"/>
    <col min="36" max="36" width="11.5546875" customWidth="1"/>
    <col min="37" max="37" width="15.5546875" customWidth="1"/>
    <col min="38" max="38" width="13.44140625" customWidth="1"/>
    <col min="39" max="39" width="8.5546875" customWidth="1"/>
    <col min="40" max="40" width="10.5546875" customWidth="1"/>
    <col min="41" max="41" width="10.44140625" customWidth="1"/>
    <col min="42" max="42" width="13.5546875" customWidth="1"/>
    <col min="43" max="43" width="22" bestFit="1" customWidth="1"/>
    <col min="44" max="44" width="9.44140625" bestFit="1" customWidth="1"/>
    <col min="45" max="45" width="11.5546875" bestFit="1" customWidth="1"/>
    <col min="46" max="46" width="14.44140625" bestFit="1" customWidth="1"/>
    <col min="47" max="47" width="89.5546875" customWidth="1"/>
    <col min="48" max="48" width="12.44140625" bestFit="1" customWidth="1"/>
    <col min="49" max="49" width="11.5546875" bestFit="1" customWidth="1"/>
    <col min="50" max="50" width="8" bestFit="1" customWidth="1"/>
    <col min="51" max="51" width="9.5546875" bestFit="1" customWidth="1"/>
    <col min="52" max="52" width="11.44140625" bestFit="1" customWidth="1"/>
    <col min="53" max="53" width="13.44140625" bestFit="1" customWidth="1"/>
  </cols>
  <sheetData>
    <row r="1" spans="1:48" ht="21">
      <c r="A1" s="32" t="s">
        <v>1298</v>
      </c>
      <c r="B1" s="33"/>
      <c r="C1" s="33"/>
      <c r="D1" s="33"/>
      <c r="E1" s="36" t="s">
        <v>1299</v>
      </c>
      <c r="F1" s="36"/>
      <c r="G1" s="36"/>
      <c r="H1" s="36"/>
      <c r="I1" s="36"/>
      <c r="J1" s="36"/>
      <c r="K1" s="36"/>
      <c r="L1" s="36"/>
      <c r="M1" s="36"/>
      <c r="N1" s="40" t="s">
        <v>1300</v>
      </c>
      <c r="O1" s="40"/>
      <c r="P1" s="40"/>
      <c r="Q1" s="41"/>
      <c r="R1" s="41"/>
      <c r="S1" s="41"/>
      <c r="T1" s="35" t="s">
        <v>1301</v>
      </c>
      <c r="U1" s="35"/>
      <c r="V1" s="35"/>
      <c r="W1" s="35"/>
      <c r="X1" s="35"/>
      <c r="Y1" s="35"/>
      <c r="Z1" s="35"/>
      <c r="AA1" s="35"/>
      <c r="AB1" s="35"/>
      <c r="AC1" s="35"/>
      <c r="AD1" s="35"/>
      <c r="AE1" s="35"/>
      <c r="AF1" s="35"/>
      <c r="AG1" s="34" t="s">
        <v>1302</v>
      </c>
      <c r="AH1" s="34"/>
      <c r="AI1" s="34"/>
      <c r="AJ1" s="34"/>
      <c r="AK1" s="34"/>
      <c r="AL1" s="34"/>
      <c r="AM1" s="34"/>
      <c r="AN1" s="34"/>
      <c r="AO1" s="44" t="s">
        <v>1303</v>
      </c>
      <c r="AP1" s="44"/>
      <c r="AQ1" s="39" t="s">
        <v>1304</v>
      </c>
      <c r="AR1" s="39"/>
      <c r="AS1" s="39"/>
      <c r="AT1" s="39"/>
      <c r="AU1" s="44" t="s">
        <v>184</v>
      </c>
    </row>
    <row r="2" spans="1:48" s="71" customFormat="1" ht="62.4">
      <c r="A2" s="69" t="s">
        <v>1305</v>
      </c>
      <c r="B2" s="69" t="s">
        <v>1306</v>
      </c>
      <c r="C2" s="69" t="s">
        <v>1306</v>
      </c>
      <c r="D2" s="69" t="s">
        <v>1305</v>
      </c>
      <c r="E2" s="69" t="s">
        <v>711</v>
      </c>
      <c r="F2" s="69" t="s">
        <v>715</v>
      </c>
      <c r="G2" s="69" t="s">
        <v>1307</v>
      </c>
      <c r="H2" s="69" t="s">
        <v>1308</v>
      </c>
      <c r="I2" s="69" t="s">
        <v>717</v>
      </c>
      <c r="J2" s="69" t="s">
        <v>718</v>
      </c>
      <c r="K2" s="69" t="s">
        <v>719</v>
      </c>
      <c r="L2" s="69" t="s">
        <v>720</v>
      </c>
      <c r="M2" s="69" t="s">
        <v>1309</v>
      </c>
      <c r="N2" s="69" t="s">
        <v>1310</v>
      </c>
      <c r="O2" s="69" t="s">
        <v>1064</v>
      </c>
      <c r="P2" s="69" t="s">
        <v>1311</v>
      </c>
      <c r="Q2" s="69" t="s">
        <v>1312</v>
      </c>
      <c r="R2" s="69" t="s">
        <v>1313</v>
      </c>
      <c r="S2" s="69" t="s">
        <v>1314</v>
      </c>
      <c r="T2" s="69" t="s">
        <v>1305</v>
      </c>
      <c r="U2" s="69" t="s">
        <v>1315</v>
      </c>
      <c r="V2" s="69" t="s">
        <v>1315</v>
      </c>
      <c r="W2" s="69" t="s">
        <v>1316</v>
      </c>
      <c r="X2" s="69" t="s">
        <v>1317</v>
      </c>
      <c r="Y2" s="69" t="s">
        <v>1318</v>
      </c>
      <c r="Z2" s="69" t="s">
        <v>1319</v>
      </c>
      <c r="AA2" s="69" t="s">
        <v>1316</v>
      </c>
      <c r="AB2" s="69" t="s">
        <v>1317</v>
      </c>
      <c r="AC2" s="69" t="s">
        <v>1320</v>
      </c>
      <c r="AD2" s="69" t="s">
        <v>1321</v>
      </c>
      <c r="AE2" s="69" t="s">
        <v>1309</v>
      </c>
      <c r="AF2" s="69" t="s">
        <v>1315</v>
      </c>
      <c r="AG2" s="69" t="s">
        <v>1322</v>
      </c>
      <c r="AH2" s="69" t="s">
        <v>104</v>
      </c>
      <c r="AI2" s="69" t="s">
        <v>1323</v>
      </c>
      <c r="AJ2" s="69" t="s">
        <v>1324</v>
      </c>
      <c r="AK2" s="69" t="s">
        <v>1325</v>
      </c>
      <c r="AL2" s="69" t="s">
        <v>1326</v>
      </c>
      <c r="AM2" s="69" t="s">
        <v>1327</v>
      </c>
      <c r="AN2" s="69" t="s">
        <v>1315</v>
      </c>
      <c r="AO2" s="69" t="s">
        <v>1305</v>
      </c>
      <c r="AP2" s="69" t="s">
        <v>714</v>
      </c>
      <c r="AQ2" s="69" t="s">
        <v>1061</v>
      </c>
      <c r="AR2" s="69" t="s">
        <v>1328</v>
      </c>
      <c r="AS2" s="69" t="s">
        <v>1329</v>
      </c>
      <c r="AT2" s="69" t="s">
        <v>1065</v>
      </c>
      <c r="AU2" s="69" t="s">
        <v>1330</v>
      </c>
    </row>
    <row r="3" spans="1:48" ht="62.4">
      <c r="A3" s="19" t="s">
        <v>1331</v>
      </c>
      <c r="B3" s="19" t="s">
        <v>1332</v>
      </c>
      <c r="C3" s="19" t="s">
        <v>1333</v>
      </c>
      <c r="D3" s="19" t="s">
        <v>1334</v>
      </c>
      <c r="E3" s="30" t="s">
        <v>77</v>
      </c>
      <c r="F3" s="19" t="s">
        <v>81</v>
      </c>
      <c r="G3" s="19" t="s">
        <v>84</v>
      </c>
      <c r="H3" s="19" t="s">
        <v>7</v>
      </c>
      <c r="I3" s="19" t="s">
        <v>86</v>
      </c>
      <c r="J3" s="19" t="s">
        <v>89</v>
      </c>
      <c r="K3" s="19" t="s">
        <v>91</v>
      </c>
      <c r="L3" s="19" t="s">
        <v>93</v>
      </c>
      <c r="M3" s="19" t="s">
        <v>96</v>
      </c>
      <c r="N3" s="19" t="s">
        <v>99</v>
      </c>
      <c r="O3" s="19" t="s">
        <v>101</v>
      </c>
      <c r="P3" s="19" t="s">
        <v>104</v>
      </c>
      <c r="Q3" s="19" t="s">
        <v>107</v>
      </c>
      <c r="R3" s="19" t="s">
        <v>112</v>
      </c>
      <c r="S3" s="19" t="s">
        <v>115</v>
      </c>
      <c r="T3" s="19" t="s">
        <v>215</v>
      </c>
      <c r="U3" s="19" t="s">
        <v>119</v>
      </c>
      <c r="V3" s="19" t="s">
        <v>121</v>
      </c>
      <c r="W3" s="19" t="s">
        <v>123</v>
      </c>
      <c r="X3" s="19" t="s">
        <v>126</v>
      </c>
      <c r="Y3" s="19" t="s">
        <v>128</v>
      </c>
      <c r="Z3" s="19" t="s">
        <v>130</v>
      </c>
      <c r="AA3" s="19" t="s">
        <v>132</v>
      </c>
      <c r="AB3" s="19" t="s">
        <v>135</v>
      </c>
      <c r="AC3" s="19" t="s">
        <v>138</v>
      </c>
      <c r="AD3" s="19" t="s">
        <v>217</v>
      </c>
      <c r="AE3" s="21" t="s">
        <v>142</v>
      </c>
      <c r="AF3" s="21" t="s">
        <v>218</v>
      </c>
      <c r="AG3" s="21" t="s">
        <v>145</v>
      </c>
      <c r="AH3" s="21" t="s">
        <v>148</v>
      </c>
      <c r="AI3" s="22" t="s">
        <v>151</v>
      </c>
      <c r="AJ3" s="72" t="s">
        <v>154</v>
      </c>
      <c r="AK3" s="21" t="s">
        <v>219</v>
      </c>
      <c r="AL3" s="21" t="s">
        <v>160</v>
      </c>
      <c r="AM3" s="21" t="s">
        <v>163</v>
      </c>
      <c r="AN3" s="21" t="s">
        <v>166</v>
      </c>
      <c r="AO3" s="21" t="s">
        <v>169</v>
      </c>
      <c r="AP3" s="21" t="s">
        <v>171</v>
      </c>
      <c r="AQ3" s="21" t="s">
        <v>173</v>
      </c>
      <c r="AR3" s="21" t="s">
        <v>211</v>
      </c>
      <c r="AS3" s="21" t="s">
        <v>180</v>
      </c>
      <c r="AT3" s="21" t="s">
        <v>182</v>
      </c>
      <c r="AU3" s="21" t="s">
        <v>184</v>
      </c>
    </row>
    <row r="4" spans="1:48" ht="15.6">
      <c r="A4" s="23" t="b">
        <v>1</v>
      </c>
      <c r="B4" s="24" t="s">
        <v>1335</v>
      </c>
      <c r="C4" s="57" t="s">
        <v>1336</v>
      </c>
      <c r="D4" s="23" t="b">
        <v>0</v>
      </c>
      <c r="E4" t="s">
        <v>1337</v>
      </c>
      <c r="H4" t="s">
        <v>1338</v>
      </c>
      <c r="I4" t="s">
        <v>258</v>
      </c>
      <c r="J4" t="s">
        <v>278</v>
      </c>
      <c r="K4" t="s">
        <v>297</v>
      </c>
      <c r="L4" t="s">
        <v>304</v>
      </c>
      <c r="N4">
        <v>2025</v>
      </c>
      <c r="O4" t="s">
        <v>456</v>
      </c>
      <c r="P4" t="s">
        <v>475</v>
      </c>
      <c r="Q4" s="24">
        <v>2022</v>
      </c>
      <c r="R4" t="s">
        <v>316</v>
      </c>
      <c r="T4" s="23" t="b">
        <v>0</v>
      </c>
      <c r="V4">
        <v>1</v>
      </c>
      <c r="W4" t="s">
        <v>1339</v>
      </c>
      <c r="Y4">
        <v>1</v>
      </c>
      <c r="AA4" t="s">
        <v>354</v>
      </c>
      <c r="AB4" t="s">
        <v>354</v>
      </c>
      <c r="AC4">
        <v>0.21</v>
      </c>
      <c r="AE4">
        <v>0</v>
      </c>
      <c r="AF4">
        <v>1</v>
      </c>
      <c r="AG4">
        <v>25</v>
      </c>
      <c r="AH4">
        <v>0</v>
      </c>
      <c r="AI4">
        <v>2647</v>
      </c>
      <c r="AJ4">
        <v>0</v>
      </c>
      <c r="AK4">
        <v>1.4999999999999999E-2</v>
      </c>
      <c r="AL4">
        <v>41</v>
      </c>
      <c r="AM4">
        <v>0</v>
      </c>
      <c r="AN4">
        <v>0.05</v>
      </c>
      <c r="AO4" s="23" t="b">
        <v>0</v>
      </c>
      <c r="AU4" t="s">
        <v>1340</v>
      </c>
      <c r="AV4" s="156" t="s">
        <v>1341</v>
      </c>
    </row>
    <row r="5" spans="1:48" ht="15.6">
      <c r="A5" s="23" t="b">
        <v>1</v>
      </c>
      <c r="B5" s="24" t="s">
        <v>1335</v>
      </c>
      <c r="C5" s="57" t="s">
        <v>1336</v>
      </c>
      <c r="D5" s="23" t="b">
        <v>0</v>
      </c>
      <c r="E5" t="s">
        <v>1342</v>
      </c>
      <c r="H5" t="s">
        <v>1343</v>
      </c>
      <c r="I5" t="s">
        <v>258</v>
      </c>
      <c r="J5" t="s">
        <v>278</v>
      </c>
      <c r="K5" t="s">
        <v>297</v>
      </c>
      <c r="L5" t="s">
        <v>304</v>
      </c>
      <c r="N5">
        <v>2030</v>
      </c>
      <c r="O5" t="s">
        <v>456</v>
      </c>
      <c r="P5" t="s">
        <v>475</v>
      </c>
      <c r="Q5">
        <v>2022</v>
      </c>
      <c r="R5" t="s">
        <v>316</v>
      </c>
      <c r="T5" s="23" t="b">
        <v>0</v>
      </c>
      <c r="V5">
        <v>1</v>
      </c>
      <c r="W5" t="s">
        <v>1339</v>
      </c>
      <c r="Y5">
        <v>1</v>
      </c>
      <c r="AA5" t="s">
        <v>354</v>
      </c>
      <c r="AB5" t="s">
        <v>354</v>
      </c>
      <c r="AC5">
        <v>0.23</v>
      </c>
      <c r="AE5">
        <v>0</v>
      </c>
      <c r="AF5">
        <v>1</v>
      </c>
      <c r="AG5">
        <v>25</v>
      </c>
      <c r="AH5">
        <v>0</v>
      </c>
      <c r="AI5">
        <v>1880</v>
      </c>
      <c r="AJ5">
        <v>0</v>
      </c>
      <c r="AK5">
        <v>1.7500000000000002E-2</v>
      </c>
      <c r="AL5">
        <f>AI5*AK5</f>
        <v>32.900000000000006</v>
      </c>
      <c r="AM5">
        <v>0</v>
      </c>
      <c r="AN5">
        <v>0.05</v>
      </c>
      <c r="AO5" s="23" t="b">
        <v>0</v>
      </c>
      <c r="AU5" t="s">
        <v>1340</v>
      </c>
    </row>
    <row r="6" spans="1:48" ht="15.6">
      <c r="A6" s="23" t="b">
        <v>1</v>
      </c>
      <c r="B6" s="24" t="s">
        <v>1335</v>
      </c>
      <c r="C6" s="57" t="s">
        <v>1336</v>
      </c>
      <c r="D6" s="23" t="b">
        <v>0</v>
      </c>
      <c r="E6" t="s">
        <v>1344</v>
      </c>
      <c r="H6" t="s">
        <v>1345</v>
      </c>
      <c r="I6" t="s">
        <v>258</v>
      </c>
      <c r="J6" t="s">
        <v>278</v>
      </c>
      <c r="K6" t="s">
        <v>297</v>
      </c>
      <c r="L6" t="s">
        <v>304</v>
      </c>
      <c r="N6">
        <v>2040</v>
      </c>
      <c r="O6" t="s">
        <v>456</v>
      </c>
      <c r="P6" t="s">
        <v>475</v>
      </c>
      <c r="Q6">
        <v>2022</v>
      </c>
      <c r="R6" t="s">
        <v>316</v>
      </c>
      <c r="T6" s="23" t="b">
        <v>0</v>
      </c>
      <c r="V6">
        <v>1</v>
      </c>
      <c r="W6" t="s">
        <v>1339</v>
      </c>
      <c r="Y6">
        <v>1</v>
      </c>
      <c r="AA6" t="s">
        <v>354</v>
      </c>
      <c r="AB6" t="s">
        <v>354</v>
      </c>
      <c r="AC6">
        <v>0.25</v>
      </c>
      <c r="AE6">
        <v>0</v>
      </c>
      <c r="AF6">
        <v>1</v>
      </c>
      <c r="AG6">
        <v>25</v>
      </c>
      <c r="AH6">
        <v>0</v>
      </c>
      <c r="AI6">
        <v>1400</v>
      </c>
      <c r="AJ6">
        <v>0</v>
      </c>
      <c r="AK6">
        <v>1.7500000000000002E-2</v>
      </c>
      <c r="AL6">
        <f>AI6*AK6</f>
        <v>24.500000000000004</v>
      </c>
      <c r="AM6">
        <v>0</v>
      </c>
      <c r="AN6">
        <v>0.05</v>
      </c>
      <c r="AO6" s="23" t="b">
        <v>0</v>
      </c>
      <c r="AU6" t="s">
        <v>1340</v>
      </c>
    </row>
    <row r="7" spans="1:48" ht="15.6">
      <c r="A7" s="23" t="b">
        <v>1</v>
      </c>
      <c r="B7" s="24" t="s">
        <v>1335</v>
      </c>
      <c r="C7" s="57" t="s">
        <v>1336</v>
      </c>
      <c r="D7" s="23" t="b">
        <v>0</v>
      </c>
      <c r="E7" t="s">
        <v>1346</v>
      </c>
      <c r="H7" t="s">
        <v>1347</v>
      </c>
      <c r="I7" t="s">
        <v>258</v>
      </c>
      <c r="J7" t="s">
        <v>278</v>
      </c>
      <c r="K7" t="s">
        <v>297</v>
      </c>
      <c r="L7" t="s">
        <v>304</v>
      </c>
      <c r="N7">
        <v>2050</v>
      </c>
      <c r="O7" t="s">
        <v>456</v>
      </c>
      <c r="P7" t="s">
        <v>475</v>
      </c>
      <c r="Q7">
        <v>2022</v>
      </c>
      <c r="R7" t="s">
        <v>316</v>
      </c>
      <c r="T7" s="23" t="b">
        <v>0</v>
      </c>
      <c r="V7">
        <v>1</v>
      </c>
      <c r="W7" t="s">
        <v>1339</v>
      </c>
      <c r="Y7">
        <v>1</v>
      </c>
      <c r="AA7" t="s">
        <v>354</v>
      </c>
      <c r="AB7" t="s">
        <v>354</v>
      </c>
      <c r="AC7">
        <v>0.27</v>
      </c>
      <c r="AE7">
        <v>0</v>
      </c>
      <c r="AF7">
        <v>1</v>
      </c>
      <c r="AG7">
        <v>25</v>
      </c>
      <c r="AH7">
        <v>0</v>
      </c>
      <c r="AI7">
        <v>1020</v>
      </c>
      <c r="AJ7">
        <v>0</v>
      </c>
      <c r="AK7">
        <v>0.02</v>
      </c>
      <c r="AL7">
        <v>21</v>
      </c>
      <c r="AM7">
        <v>0</v>
      </c>
      <c r="AN7">
        <v>0.05</v>
      </c>
      <c r="AO7" s="23" t="b">
        <v>0</v>
      </c>
      <c r="AU7" t="s">
        <v>1340</v>
      </c>
    </row>
    <row r="8" spans="1:48" s="18" customFormat="1" ht="15.6">
      <c r="A8" s="23" t="b">
        <v>1</v>
      </c>
      <c r="B8" s="57" t="s">
        <v>1335</v>
      </c>
      <c r="C8" s="57" t="s">
        <v>1336</v>
      </c>
      <c r="D8" s="23" t="b">
        <v>0</v>
      </c>
      <c r="E8" t="s">
        <v>1348</v>
      </c>
      <c r="F8" s="31"/>
      <c r="H8" t="s">
        <v>1349</v>
      </c>
      <c r="I8" t="s">
        <v>258</v>
      </c>
      <c r="J8" t="s">
        <v>278</v>
      </c>
      <c r="K8" t="s">
        <v>297</v>
      </c>
      <c r="L8" t="s">
        <v>304</v>
      </c>
      <c r="M8" s="24"/>
      <c r="N8">
        <v>2030</v>
      </c>
      <c r="O8" t="s">
        <v>456</v>
      </c>
      <c r="P8" t="s">
        <v>475</v>
      </c>
      <c r="Q8">
        <v>2022</v>
      </c>
      <c r="R8" t="s">
        <v>316</v>
      </c>
      <c r="S8" t="s">
        <v>1350</v>
      </c>
      <c r="T8" s="23" t="b">
        <v>0</v>
      </c>
      <c r="U8" s="24"/>
      <c r="V8" s="24"/>
      <c r="W8" t="s">
        <v>356</v>
      </c>
      <c r="X8" t="s">
        <v>264</v>
      </c>
      <c r="Y8">
        <v>1</v>
      </c>
      <c r="Z8"/>
      <c r="AA8" t="s">
        <v>346</v>
      </c>
      <c r="AB8" t="s">
        <v>264</v>
      </c>
      <c r="AC8">
        <v>1</v>
      </c>
      <c r="AD8" t="s">
        <v>1351</v>
      </c>
      <c r="AE8">
        <v>0</v>
      </c>
      <c r="AF8"/>
      <c r="AG8">
        <v>25</v>
      </c>
      <c r="AH8">
        <v>0</v>
      </c>
      <c r="AI8">
        <v>2300</v>
      </c>
      <c r="AJ8">
        <v>0</v>
      </c>
      <c r="AK8"/>
      <c r="AL8">
        <v>46</v>
      </c>
      <c r="AM8">
        <v>0</v>
      </c>
      <c r="AN8"/>
      <c r="AO8" s="23" t="b">
        <v>0</v>
      </c>
      <c r="AP8" s="24"/>
      <c r="AQ8" s="66" t="s">
        <v>1154</v>
      </c>
      <c r="AR8" s="66" t="s">
        <v>1309</v>
      </c>
      <c r="AS8" s="73">
        <v>989.05630205960335</v>
      </c>
      <c r="AT8" s="66" t="s">
        <v>313</v>
      </c>
      <c r="AU8" s="147" t="s">
        <v>1352</v>
      </c>
      <c r="AV8" s="95"/>
    </row>
    <row r="9" spans="1:48" s="18" customFormat="1" ht="15.6">
      <c r="A9" s="23" t="b">
        <v>1</v>
      </c>
      <c r="B9" s="57" t="s">
        <v>1335</v>
      </c>
      <c r="C9" s="57" t="s">
        <v>1336</v>
      </c>
      <c r="D9" s="23" t="b">
        <v>0</v>
      </c>
      <c r="E9" t="s">
        <v>1353</v>
      </c>
      <c r="F9" s="31"/>
      <c r="H9" t="s">
        <v>1349</v>
      </c>
      <c r="I9" t="s">
        <v>258</v>
      </c>
      <c r="J9" t="s">
        <v>278</v>
      </c>
      <c r="K9" t="s">
        <v>297</v>
      </c>
      <c r="L9" t="s">
        <v>304</v>
      </c>
      <c r="M9" s="24"/>
      <c r="N9">
        <v>2040</v>
      </c>
      <c r="O9" t="s">
        <v>456</v>
      </c>
      <c r="P9" t="s">
        <v>475</v>
      </c>
      <c r="Q9">
        <v>2022</v>
      </c>
      <c r="R9" t="s">
        <v>316</v>
      </c>
      <c r="S9" t="s">
        <v>1350</v>
      </c>
      <c r="T9" s="23" t="b">
        <v>0</v>
      </c>
      <c r="U9" s="24"/>
      <c r="V9" s="24"/>
      <c r="W9" t="s">
        <v>356</v>
      </c>
      <c r="X9" t="s">
        <v>264</v>
      </c>
      <c r="Y9">
        <v>1</v>
      </c>
      <c r="Z9"/>
      <c r="AA9" t="s">
        <v>346</v>
      </c>
      <c r="AB9" t="s">
        <v>264</v>
      </c>
      <c r="AC9">
        <v>1</v>
      </c>
      <c r="AD9" t="s">
        <v>1351</v>
      </c>
      <c r="AE9">
        <v>0</v>
      </c>
      <c r="AF9"/>
      <c r="AG9">
        <v>25</v>
      </c>
      <c r="AH9">
        <v>0</v>
      </c>
      <c r="AI9">
        <v>2000</v>
      </c>
      <c r="AJ9">
        <v>0</v>
      </c>
      <c r="AK9"/>
      <c r="AL9">
        <v>40</v>
      </c>
      <c r="AM9">
        <v>0</v>
      </c>
      <c r="AN9"/>
      <c r="AO9" s="23" t="b">
        <v>0</v>
      </c>
      <c r="AP9" s="24"/>
      <c r="AQ9" s="66" t="s">
        <v>1154</v>
      </c>
      <c r="AR9" s="66" t="s">
        <v>1309</v>
      </c>
      <c r="AS9" s="73">
        <v>574.01377551658766</v>
      </c>
      <c r="AT9" s="66" t="s">
        <v>312</v>
      </c>
      <c r="AU9" s="147" t="s">
        <v>1352</v>
      </c>
      <c r="AV9" s="95"/>
    </row>
    <row r="10" spans="1:48" s="18" customFormat="1" ht="15.6">
      <c r="A10" s="23" t="b">
        <v>1</v>
      </c>
      <c r="B10" s="57" t="s">
        <v>1335</v>
      </c>
      <c r="C10" s="57" t="s">
        <v>1336</v>
      </c>
      <c r="D10" s="23" t="b">
        <v>0</v>
      </c>
      <c r="E10" t="s">
        <v>1354</v>
      </c>
      <c r="F10" s="31"/>
      <c r="H10" t="s">
        <v>1349</v>
      </c>
      <c r="I10" t="s">
        <v>258</v>
      </c>
      <c r="J10" t="s">
        <v>278</v>
      </c>
      <c r="K10" t="s">
        <v>297</v>
      </c>
      <c r="L10" t="s">
        <v>304</v>
      </c>
      <c r="M10" s="24"/>
      <c r="N10">
        <v>2050</v>
      </c>
      <c r="O10" t="s">
        <v>456</v>
      </c>
      <c r="P10" t="s">
        <v>475</v>
      </c>
      <c r="Q10">
        <v>2022</v>
      </c>
      <c r="R10" t="s">
        <v>316</v>
      </c>
      <c r="S10" t="s">
        <v>1350</v>
      </c>
      <c r="T10" s="23" t="b">
        <v>0</v>
      </c>
      <c r="U10" s="24"/>
      <c r="V10" s="24"/>
      <c r="W10" t="s">
        <v>356</v>
      </c>
      <c r="X10" t="s">
        <v>264</v>
      </c>
      <c r="Y10">
        <v>1</v>
      </c>
      <c r="Z10"/>
      <c r="AA10" t="s">
        <v>346</v>
      </c>
      <c r="AB10" t="s">
        <v>264</v>
      </c>
      <c r="AC10">
        <v>1</v>
      </c>
      <c r="AD10" t="s">
        <v>1351</v>
      </c>
      <c r="AE10">
        <v>0</v>
      </c>
      <c r="AF10"/>
      <c r="AG10">
        <v>25</v>
      </c>
      <c r="AH10">
        <v>0</v>
      </c>
      <c r="AI10">
        <v>1800</v>
      </c>
      <c r="AJ10">
        <v>0</v>
      </c>
      <c r="AK10"/>
      <c r="AL10">
        <v>36</v>
      </c>
      <c r="AM10">
        <v>0</v>
      </c>
      <c r="AN10"/>
      <c r="AO10" s="23" t="b">
        <v>0</v>
      </c>
      <c r="AP10" s="24"/>
      <c r="AQ10" s="66" t="s">
        <v>1154</v>
      </c>
      <c r="AR10" s="66" t="s">
        <v>1309</v>
      </c>
      <c r="AS10" s="73">
        <v>483.62622836808538</v>
      </c>
      <c r="AT10" s="66" t="s">
        <v>314</v>
      </c>
      <c r="AU10" s="147" t="s">
        <v>1352</v>
      </c>
      <c r="AV10" s="95"/>
    </row>
    <row r="11" spans="1:48" s="18" customFormat="1" ht="15.6">
      <c r="A11" s="23" t="b">
        <v>1</v>
      </c>
      <c r="B11" s="57" t="s">
        <v>1335</v>
      </c>
      <c r="C11" s="57" t="s">
        <v>1336</v>
      </c>
      <c r="D11" s="23" t="b">
        <v>0</v>
      </c>
      <c r="E11" t="s">
        <v>1355</v>
      </c>
      <c r="F11" s="31"/>
      <c r="H11" t="s">
        <v>929</v>
      </c>
      <c r="I11" t="s">
        <v>258</v>
      </c>
      <c r="J11" t="s">
        <v>278</v>
      </c>
      <c r="K11" t="s">
        <v>297</v>
      </c>
      <c r="L11" t="s">
        <v>304</v>
      </c>
      <c r="M11" s="24"/>
      <c r="N11">
        <v>2024</v>
      </c>
      <c r="O11" t="s">
        <v>456</v>
      </c>
      <c r="P11" s="63" t="s">
        <v>481</v>
      </c>
      <c r="Q11">
        <v>2024</v>
      </c>
      <c r="R11" t="s">
        <v>316</v>
      </c>
      <c r="S11" t="s">
        <v>1350</v>
      </c>
      <c r="T11" s="23" t="b">
        <v>0</v>
      </c>
      <c r="U11" s="24"/>
      <c r="V11" s="24"/>
      <c r="W11" t="s">
        <v>356</v>
      </c>
      <c r="X11" t="s">
        <v>264</v>
      </c>
      <c r="Y11">
        <v>1</v>
      </c>
      <c r="Z11"/>
      <c r="AA11" t="s">
        <v>346</v>
      </c>
      <c r="AB11" t="s">
        <v>264</v>
      </c>
      <c r="AC11">
        <v>0.21</v>
      </c>
      <c r="AD11" t="s">
        <v>1351</v>
      </c>
      <c r="AE11">
        <v>0</v>
      </c>
      <c r="AF11"/>
      <c r="AG11">
        <v>25</v>
      </c>
      <c r="AH11">
        <v>0</v>
      </c>
      <c r="AI11">
        <f>3207</f>
        <v>3207</v>
      </c>
      <c r="AJ11">
        <v>0</v>
      </c>
      <c r="AK11"/>
      <c r="AL11">
        <v>20</v>
      </c>
      <c r="AM11">
        <v>0</v>
      </c>
      <c r="AN11"/>
      <c r="AO11" s="23" t="b">
        <v>0</v>
      </c>
      <c r="AP11" s="24"/>
      <c r="AQ11" s="66"/>
      <c r="AR11" s="66"/>
      <c r="AS11" s="73"/>
      <c r="AT11" s="66"/>
      <c r="AU11" t="s">
        <v>1356</v>
      </c>
      <c r="AV11" s="95"/>
    </row>
    <row r="12" spans="1:48" s="18" customFormat="1" ht="15.6">
      <c r="A12" s="23" t="b">
        <v>1</v>
      </c>
      <c r="B12" s="57" t="s">
        <v>1335</v>
      </c>
      <c r="C12" s="57" t="s">
        <v>1336</v>
      </c>
      <c r="D12" s="23" t="b">
        <v>0</v>
      </c>
      <c r="E12" t="s">
        <v>1357</v>
      </c>
      <c r="F12" s="31"/>
      <c r="H12" t="s">
        <v>1358</v>
      </c>
      <c r="I12" t="s">
        <v>258</v>
      </c>
      <c r="J12" t="s">
        <v>278</v>
      </c>
      <c r="K12" t="s">
        <v>297</v>
      </c>
      <c r="L12" t="s">
        <v>304</v>
      </c>
      <c r="M12" s="24"/>
      <c r="N12">
        <v>2030</v>
      </c>
      <c r="O12" t="s">
        <v>456</v>
      </c>
      <c r="P12" s="63" t="s">
        <v>481</v>
      </c>
      <c r="Q12">
        <v>2024</v>
      </c>
      <c r="R12" t="s">
        <v>316</v>
      </c>
      <c r="S12" t="s">
        <v>1350</v>
      </c>
      <c r="T12" s="23" t="b">
        <v>0</v>
      </c>
      <c r="U12" s="24"/>
      <c r="V12" s="24"/>
      <c r="W12" t="s">
        <v>356</v>
      </c>
      <c r="X12" t="s">
        <v>264</v>
      </c>
      <c r="Y12">
        <v>1</v>
      </c>
      <c r="Z12"/>
      <c r="AA12" t="s">
        <v>346</v>
      </c>
      <c r="AB12" t="s">
        <v>264</v>
      </c>
      <c r="AC12">
        <v>0.23</v>
      </c>
      <c r="AD12" t="s">
        <v>1351</v>
      </c>
      <c r="AE12">
        <v>0</v>
      </c>
      <c r="AF12"/>
      <c r="AG12">
        <v>25</v>
      </c>
      <c r="AH12">
        <v>0</v>
      </c>
      <c r="AI12">
        <f>AI11*(1-0.04)^5</f>
        <v>2614.9002412032</v>
      </c>
      <c r="AJ12">
        <v>0</v>
      </c>
      <c r="AK12"/>
      <c r="AL12">
        <v>20</v>
      </c>
      <c r="AM12">
        <v>0</v>
      </c>
      <c r="AN12"/>
      <c r="AO12" s="23" t="b">
        <v>0</v>
      </c>
      <c r="AP12" s="24"/>
      <c r="AQ12" s="66"/>
      <c r="AR12" s="66"/>
      <c r="AS12" s="73"/>
      <c r="AT12" s="66"/>
      <c r="AU12" t="s">
        <v>1359</v>
      </c>
      <c r="AV12" s="95"/>
    </row>
    <row r="13" spans="1:48" s="18" customFormat="1" ht="15.6">
      <c r="A13" s="23" t="b">
        <v>1</v>
      </c>
      <c r="B13" s="57" t="s">
        <v>1335</v>
      </c>
      <c r="C13" s="57" t="s">
        <v>1336</v>
      </c>
      <c r="D13" s="23" t="b">
        <v>0</v>
      </c>
      <c r="E13" t="s">
        <v>1360</v>
      </c>
      <c r="F13" s="31"/>
      <c r="H13" t="s">
        <v>1361</v>
      </c>
      <c r="I13" t="s">
        <v>258</v>
      </c>
      <c r="J13" t="s">
        <v>278</v>
      </c>
      <c r="K13" t="s">
        <v>297</v>
      </c>
      <c r="L13" t="s">
        <v>304</v>
      </c>
      <c r="M13" s="24"/>
      <c r="N13">
        <v>2040</v>
      </c>
      <c r="O13" t="s">
        <v>456</v>
      </c>
      <c r="P13" s="63" t="s">
        <v>481</v>
      </c>
      <c r="Q13">
        <v>2024</v>
      </c>
      <c r="R13" t="s">
        <v>316</v>
      </c>
      <c r="S13" t="s">
        <v>1350</v>
      </c>
      <c r="T13" s="23" t="b">
        <v>0</v>
      </c>
      <c r="U13" s="24"/>
      <c r="V13" s="24"/>
      <c r="W13" t="s">
        <v>356</v>
      </c>
      <c r="X13" t="s">
        <v>264</v>
      </c>
      <c r="Y13">
        <v>1</v>
      </c>
      <c r="Z13"/>
      <c r="AA13" t="s">
        <v>346</v>
      </c>
      <c r="AB13" t="s">
        <v>264</v>
      </c>
      <c r="AC13">
        <v>0.25</v>
      </c>
      <c r="AD13" t="s">
        <v>1351</v>
      </c>
      <c r="AE13">
        <v>0</v>
      </c>
      <c r="AF13"/>
      <c r="AG13">
        <v>25</v>
      </c>
      <c r="AH13">
        <v>0</v>
      </c>
      <c r="AI13">
        <f>AI12*(1-0.03)^10</f>
        <v>1928.2905272866069</v>
      </c>
      <c r="AJ13">
        <v>0</v>
      </c>
      <c r="AK13"/>
      <c r="AL13">
        <v>15</v>
      </c>
      <c r="AM13">
        <v>0</v>
      </c>
      <c r="AN13"/>
      <c r="AO13" s="23" t="b">
        <v>0</v>
      </c>
      <c r="AP13" s="24"/>
      <c r="AQ13" s="66"/>
      <c r="AR13" s="66"/>
      <c r="AS13" s="73"/>
      <c r="AT13" s="66"/>
      <c r="AU13" t="s">
        <v>1359</v>
      </c>
      <c r="AV13" s="95"/>
    </row>
    <row r="14" spans="1:48" s="18" customFormat="1" ht="15.6">
      <c r="A14" s="23" t="b">
        <v>1</v>
      </c>
      <c r="B14" s="57" t="s">
        <v>1335</v>
      </c>
      <c r="C14" s="57" t="s">
        <v>1336</v>
      </c>
      <c r="D14" s="23" t="b">
        <v>0</v>
      </c>
      <c r="E14" t="s">
        <v>1362</v>
      </c>
      <c r="F14" s="31"/>
      <c r="H14" t="s">
        <v>1363</v>
      </c>
      <c r="I14" t="s">
        <v>258</v>
      </c>
      <c r="J14" t="s">
        <v>278</v>
      </c>
      <c r="K14" t="s">
        <v>297</v>
      </c>
      <c r="L14" t="s">
        <v>304</v>
      </c>
      <c r="M14" s="24"/>
      <c r="N14">
        <v>2050</v>
      </c>
      <c r="O14" t="s">
        <v>456</v>
      </c>
      <c r="P14" s="63" t="s">
        <v>481</v>
      </c>
      <c r="Q14">
        <v>2024</v>
      </c>
      <c r="R14" t="s">
        <v>316</v>
      </c>
      <c r="S14" t="s">
        <v>1350</v>
      </c>
      <c r="T14" s="23" t="b">
        <v>0</v>
      </c>
      <c r="U14" s="24"/>
      <c r="V14" s="24"/>
      <c r="W14" t="s">
        <v>356</v>
      </c>
      <c r="X14" t="s">
        <v>264</v>
      </c>
      <c r="Y14">
        <v>1</v>
      </c>
      <c r="Z14"/>
      <c r="AA14" t="s">
        <v>346</v>
      </c>
      <c r="AB14" t="s">
        <v>264</v>
      </c>
      <c r="AC14">
        <v>0.27</v>
      </c>
      <c r="AD14" t="s">
        <v>1351</v>
      </c>
      <c r="AE14">
        <v>0</v>
      </c>
      <c r="AF14"/>
      <c r="AG14">
        <v>25</v>
      </c>
      <c r="AH14">
        <v>0</v>
      </c>
      <c r="AI14">
        <f>AI13*(1-0.02)^10</f>
        <v>1575.5537536247352</v>
      </c>
      <c r="AJ14">
        <v>0</v>
      </c>
      <c r="AK14"/>
      <c r="AL14">
        <v>10</v>
      </c>
      <c r="AM14">
        <v>0</v>
      </c>
      <c r="AN14"/>
      <c r="AO14" s="23" t="b">
        <v>0</v>
      </c>
      <c r="AP14" s="24"/>
      <c r="AQ14" s="66"/>
      <c r="AR14" s="66"/>
      <c r="AS14" s="73"/>
      <c r="AT14" s="66"/>
      <c r="AU14" t="s">
        <v>1359</v>
      </c>
      <c r="AV14" s="95"/>
    </row>
  </sheetData>
  <autoFilter ref="E3:E14" xr:uid="{64F0C2BB-7DE7-4DD9-A374-6A85939C70BC}"/>
  <conditionalFormatting sqref="A4:A7">
    <cfRule type="iconSet" priority="27">
      <iconSet iconSet="3Flags">
        <cfvo type="percent" val="0"/>
        <cfvo type="percent" val="33"/>
        <cfvo type="percent" val="67"/>
      </iconSet>
    </cfRule>
  </conditionalFormatting>
  <conditionalFormatting sqref="A1:D1 A3:D3">
    <cfRule type="iconSet" priority="19">
      <iconSet iconSet="3Flags">
        <cfvo type="percent" val="0"/>
        <cfvo type="percent" val="33"/>
        <cfvo type="percent" val="67"/>
      </iconSet>
    </cfRule>
  </conditionalFormatting>
  <conditionalFormatting sqref="A8:D14">
    <cfRule type="iconSet" priority="5">
      <iconSet iconSet="3Flags">
        <cfvo type="percent" val="0"/>
        <cfvo type="percent" val="33"/>
        <cfvo type="percent" val="67"/>
      </iconSet>
    </cfRule>
  </conditionalFormatting>
  <conditionalFormatting sqref="B4:B7">
    <cfRule type="iconSet" priority="28">
      <iconSet iconSet="3Flags">
        <cfvo type="percent" val="0"/>
        <cfvo type="percent" val="33"/>
        <cfvo type="percent" val="67"/>
      </iconSet>
    </cfRule>
  </conditionalFormatting>
  <conditionalFormatting sqref="C4:C7">
    <cfRule type="iconSet" priority="1">
      <iconSet iconSet="3Flags">
        <cfvo type="percent" val="0"/>
        <cfvo type="percent" val="33"/>
        <cfvo type="percent" val="67"/>
      </iconSet>
    </cfRule>
  </conditionalFormatting>
  <conditionalFormatting sqref="D4:D7">
    <cfRule type="iconSet" priority="29">
      <iconSet iconSet="3Flags">
        <cfvo type="percent" val="0"/>
        <cfvo type="percent" val="33"/>
        <cfvo type="percent" val="67"/>
      </iconSet>
    </cfRule>
  </conditionalFormatting>
  <conditionalFormatting sqref="T4:T7">
    <cfRule type="iconSet" priority="30">
      <iconSet iconSet="3Flags">
        <cfvo type="percent" val="0"/>
        <cfvo type="percent" val="33"/>
        <cfvo type="percent" val="67"/>
      </iconSet>
    </cfRule>
  </conditionalFormatting>
  <conditionalFormatting sqref="T8:T14">
    <cfRule type="iconSet" priority="6">
      <iconSet iconSet="3Flags">
        <cfvo type="percent" val="0"/>
        <cfvo type="percent" val="33"/>
        <cfvo type="percent" val="67"/>
      </iconSet>
    </cfRule>
  </conditionalFormatting>
  <conditionalFormatting sqref="AO4:AO7">
    <cfRule type="iconSet" priority="2">
      <iconSet iconSet="3Flags">
        <cfvo type="percent" val="0"/>
        <cfvo type="percent" val="33"/>
        <cfvo type="percent" val="67"/>
      </iconSet>
    </cfRule>
  </conditionalFormatting>
  <conditionalFormatting sqref="AO8:AP14">
    <cfRule type="iconSet" priority="7">
      <iconSet iconSet="3Flags">
        <cfvo type="percent" val="0"/>
        <cfvo type="percent" val="33"/>
        <cfvo type="percent" val="67"/>
      </iconSet>
    </cfRule>
  </conditionalFormatting>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outlinePr summaryBelow="0" summaryRight="0"/>
  </sheetPr>
  <dimension ref="A1:CJ1047"/>
  <sheetViews>
    <sheetView tabSelected="1" zoomScale="70" zoomScaleNormal="70" workbookViewId="0">
      <pane xSplit="7" ySplit="4" topLeftCell="H126" activePane="bottomRight" state="frozen"/>
      <selection pane="topRight" activeCell="H1" sqref="H1"/>
      <selection pane="bottomLeft" activeCell="A5" sqref="A5"/>
      <selection pane="bottomRight" activeCell="G134" sqref="G134"/>
    </sheetView>
  </sheetViews>
  <sheetFormatPr defaultColWidth="12.5546875" defaultRowHeight="15.6"/>
  <cols>
    <col min="1" max="1" width="7.5546875" style="18" customWidth="1"/>
    <col min="2" max="2" width="11" style="18" hidden="1" customWidth="1"/>
    <col min="3" max="3" width="9" style="18" hidden="1" customWidth="1"/>
    <col min="4" max="4" width="6.5546875" style="18" hidden="1" customWidth="1"/>
    <col min="5" max="5" width="6" style="18" hidden="1" customWidth="1"/>
    <col min="6" max="6" width="51.5546875" style="31" customWidth="1"/>
    <col min="7" max="7" width="50.44140625" style="18" bestFit="1" customWidth="1"/>
    <col min="8" max="8" width="21.44140625" style="31" customWidth="1"/>
    <col min="9" max="9" width="27" style="18" customWidth="1"/>
    <col min="10" max="10" width="53.5546875" style="47" customWidth="1"/>
    <col min="11" max="11" width="40.44140625" style="47" customWidth="1"/>
    <col min="12" max="12" width="22.5546875" style="18" bestFit="1" customWidth="1"/>
    <col min="13" max="13" width="21.5546875" style="18" customWidth="1"/>
    <col min="14" max="14" width="22.5546875" style="18" customWidth="1"/>
    <col min="15" max="15" width="19.5546875" style="18" customWidth="1"/>
    <col min="16" max="16" width="15.5546875" style="18" customWidth="1"/>
    <col min="17" max="17" width="17.5546875" style="24" customWidth="1"/>
    <col min="18" max="18" width="14.5546875" style="24" bestFit="1" customWidth="1"/>
    <col min="19" max="19" width="15.5546875" style="24" customWidth="1"/>
    <col min="20" max="20" width="17.5546875" style="24" customWidth="1"/>
    <col min="21" max="21" width="17.5546875" style="189" customWidth="1"/>
    <col min="22" max="22" width="21.5546875" style="24" customWidth="1"/>
    <col min="23" max="23" width="23.5546875" style="24" customWidth="1"/>
    <col min="24" max="24" width="11.44140625" style="24" customWidth="1"/>
    <col min="25" max="25" width="24.5546875" style="24" customWidth="1"/>
    <col min="26" max="26" width="15.44140625" style="24" customWidth="1"/>
    <col min="27" max="27" width="41.5546875" style="24" customWidth="1"/>
    <col min="28" max="28" width="13.5546875" style="24" customWidth="1"/>
    <col min="29" max="29" width="18.5546875" style="184" hidden="1" customWidth="1"/>
    <col min="30" max="30" width="14.5546875" style="24" hidden="1" customWidth="1"/>
    <col min="31" max="31" width="17.5546875" style="24" customWidth="1"/>
    <col min="32" max="32" width="18.5546875" style="24" bestFit="1" customWidth="1"/>
    <col min="33" max="33" width="24.5546875" style="18" bestFit="1" customWidth="1"/>
    <col min="34" max="34" width="25.44140625" style="18" customWidth="1"/>
    <col min="35" max="35" width="17" style="18" customWidth="1"/>
    <col min="36" max="36" width="20.44140625" style="18" customWidth="1"/>
    <col min="37" max="37" width="22.44140625" style="18" bestFit="1" customWidth="1"/>
    <col min="38" max="38" width="17" style="18" customWidth="1"/>
    <col min="39" max="39" width="19.5546875" style="184" hidden="1" customWidth="1"/>
    <col min="40" max="40" width="15.5546875" style="18" hidden="1" customWidth="1"/>
    <col min="41" max="41" width="15.5546875" style="194" customWidth="1"/>
    <col min="42" max="43" width="15.44140625" style="18" customWidth="1"/>
    <col min="44" max="44" width="14.44140625" style="18" customWidth="1"/>
    <col min="45" max="45" width="12.5546875" style="18" customWidth="1"/>
    <col min="46" max="46" width="15.5546875" style="18" customWidth="1"/>
    <col min="47" max="47" width="16" style="18" customWidth="1"/>
    <col min="48" max="48" width="27" style="18" customWidth="1"/>
    <col min="49" max="49" width="20.5546875" style="18" customWidth="1"/>
    <col min="50" max="50" width="22.44140625" style="18" customWidth="1"/>
    <col min="51" max="51" width="11" style="18" customWidth="1"/>
    <col min="52" max="53" width="18.44140625" style="18" customWidth="1"/>
    <col min="54" max="54" width="60.44140625" style="18" customWidth="1"/>
    <col min="55" max="55" width="13.5546875" style="18" bestFit="1" customWidth="1"/>
    <col min="56" max="56" width="20.5546875" style="55" customWidth="1"/>
    <col min="57" max="57" width="29.44140625" style="18" customWidth="1"/>
    <col min="58" max="62" width="25" style="18" customWidth="1"/>
    <col min="63" max="63" width="255.5546875" style="18" customWidth="1"/>
    <col min="64" max="64" width="49.5546875" style="18" customWidth="1"/>
    <col min="65" max="65" width="115" style="18" customWidth="1"/>
    <col min="66" max="66" width="38.5546875" style="18" customWidth="1"/>
    <col min="67" max="67" width="30.5546875" style="18" customWidth="1"/>
    <col min="68" max="68" width="14.5546875" style="18" customWidth="1"/>
    <col min="69" max="16384" width="12.5546875" style="18"/>
  </cols>
  <sheetData>
    <row r="1" spans="1:79" s="29" customFormat="1" ht="21">
      <c r="A1" s="32" t="s">
        <v>1364</v>
      </c>
      <c r="B1" s="33"/>
      <c r="C1" s="33"/>
      <c r="D1" s="33"/>
      <c r="E1" s="33"/>
      <c r="F1" s="36" t="s">
        <v>1299</v>
      </c>
      <c r="G1" s="18"/>
      <c r="H1" s="36"/>
      <c r="I1" s="36"/>
      <c r="J1" s="59"/>
      <c r="K1" s="59"/>
      <c r="L1" s="37"/>
      <c r="M1" s="37"/>
      <c r="N1" s="37"/>
      <c r="O1" s="37"/>
      <c r="P1" s="37"/>
      <c r="Q1" s="40" t="s">
        <v>1300</v>
      </c>
      <c r="R1" s="40"/>
      <c r="S1" s="40"/>
      <c r="T1" s="40"/>
      <c r="U1" s="190"/>
      <c r="V1" s="41"/>
      <c r="W1" s="41"/>
      <c r="X1" s="41"/>
      <c r="Y1" s="35" t="s">
        <v>1365</v>
      </c>
      <c r="Z1" s="35"/>
      <c r="AA1" s="35" t="s">
        <v>1301</v>
      </c>
      <c r="AB1" s="35"/>
      <c r="AC1" s="188"/>
      <c r="AD1" s="35"/>
      <c r="AE1" s="35"/>
      <c r="AF1" s="35"/>
      <c r="AG1" s="43"/>
      <c r="AH1" s="43"/>
      <c r="AI1" s="43"/>
      <c r="AJ1" s="43"/>
      <c r="AK1" s="43"/>
      <c r="AL1" s="43"/>
      <c r="AM1" s="185"/>
      <c r="AN1" s="43"/>
      <c r="AO1" s="193"/>
      <c r="AP1" s="43"/>
      <c r="AQ1" s="43"/>
      <c r="AR1" s="34" t="s">
        <v>1302</v>
      </c>
      <c r="AS1" s="34"/>
      <c r="AT1" s="34"/>
      <c r="AU1" s="34"/>
      <c r="AV1" s="34"/>
      <c r="AW1" s="34"/>
      <c r="AX1" s="34"/>
      <c r="AY1" s="34"/>
      <c r="AZ1" s="44" t="s">
        <v>1303</v>
      </c>
      <c r="BA1" s="44"/>
      <c r="BB1" s="151" t="s">
        <v>1304</v>
      </c>
      <c r="BC1" s="39"/>
      <c r="BD1" s="341"/>
      <c r="BE1" s="39"/>
      <c r="BF1" s="369" t="s">
        <v>1366</v>
      </c>
      <c r="BG1" s="369"/>
      <c r="BH1" s="203" t="s">
        <v>1367</v>
      </c>
      <c r="BI1" s="203"/>
      <c r="BJ1" s="203"/>
      <c r="BK1" s="44" t="s">
        <v>333</v>
      </c>
      <c r="BL1" s="44" t="s">
        <v>1368</v>
      </c>
      <c r="BM1" s="152" t="s">
        <v>1369</v>
      </c>
      <c r="BN1" s="152"/>
      <c r="BO1" s="152"/>
      <c r="BP1" s="152"/>
      <c r="BQ1" s="152"/>
      <c r="BR1" s="152"/>
      <c r="BS1" s="152"/>
      <c r="BT1" s="152"/>
      <c r="BU1" s="152"/>
      <c r="BV1" s="152"/>
      <c r="BW1" s="152"/>
      <c r="BX1" s="152"/>
      <c r="BY1" s="152"/>
      <c r="BZ1" s="152"/>
      <c r="CA1" s="152"/>
    </row>
    <row r="2" spans="1:79" ht="46.8">
      <c r="A2" s="69" t="s">
        <v>1305</v>
      </c>
      <c r="B2" s="69" t="s">
        <v>714</v>
      </c>
      <c r="C2" s="69" t="s">
        <v>714</v>
      </c>
      <c r="D2" s="69" t="s">
        <v>1305</v>
      </c>
      <c r="E2" s="69" t="s">
        <v>1305</v>
      </c>
      <c r="F2" s="69" t="s">
        <v>711</v>
      </c>
      <c r="G2" s="69" t="s">
        <v>710</v>
      </c>
      <c r="H2" s="69" t="s">
        <v>715</v>
      </c>
      <c r="I2" s="69" t="s">
        <v>1307</v>
      </c>
      <c r="J2" s="69" t="s">
        <v>714</v>
      </c>
      <c r="K2" s="69" t="s">
        <v>714</v>
      </c>
      <c r="L2" s="69" t="s">
        <v>717</v>
      </c>
      <c r="M2" s="69" t="s">
        <v>718</v>
      </c>
      <c r="N2" s="69" t="s">
        <v>719</v>
      </c>
      <c r="O2" s="69" t="s">
        <v>720</v>
      </c>
      <c r="P2" s="69" t="s">
        <v>1370</v>
      </c>
      <c r="Q2" s="69" t="s">
        <v>1310</v>
      </c>
      <c r="R2" s="69" t="s">
        <v>1064</v>
      </c>
      <c r="S2" s="69" t="s">
        <v>1311</v>
      </c>
      <c r="T2" s="69" t="s">
        <v>1310</v>
      </c>
      <c r="U2" s="69" t="s">
        <v>1371</v>
      </c>
      <c r="V2" s="69" t="s">
        <v>1313</v>
      </c>
      <c r="W2" s="69" t="s">
        <v>1314</v>
      </c>
      <c r="X2" s="69" t="s">
        <v>1305</v>
      </c>
      <c r="Y2" s="69" t="s">
        <v>1372</v>
      </c>
      <c r="Z2" s="69" t="s">
        <v>1373</v>
      </c>
      <c r="AA2" s="69" t="s">
        <v>1316</v>
      </c>
      <c r="AB2" s="69" t="s">
        <v>1317</v>
      </c>
      <c r="AC2" s="181" t="s">
        <v>1318</v>
      </c>
      <c r="AD2" s="69" t="s">
        <v>1319</v>
      </c>
      <c r="AE2" s="69" t="s">
        <v>1320</v>
      </c>
      <c r="AF2" s="69" t="s">
        <v>1321</v>
      </c>
      <c r="AG2" s="69" t="s">
        <v>1316</v>
      </c>
      <c r="AH2" s="69" t="s">
        <v>1316</v>
      </c>
      <c r="AI2" s="69" t="s">
        <v>1317</v>
      </c>
      <c r="AJ2" s="69" t="s">
        <v>1320</v>
      </c>
      <c r="AK2" s="69" t="s">
        <v>1320</v>
      </c>
      <c r="AL2" s="69" t="s">
        <v>1321</v>
      </c>
      <c r="AM2" s="181" t="s">
        <v>1320</v>
      </c>
      <c r="AN2" s="69" t="s">
        <v>1321</v>
      </c>
      <c r="AO2" s="69" t="s">
        <v>1372</v>
      </c>
      <c r="AP2" s="69" t="s">
        <v>1374</v>
      </c>
      <c r="AQ2" s="69" t="s">
        <v>1375</v>
      </c>
      <c r="AR2" s="69" t="s">
        <v>1322</v>
      </c>
      <c r="AS2" s="69" t="s">
        <v>104</v>
      </c>
      <c r="AT2" s="69" t="s">
        <v>1376</v>
      </c>
      <c r="AU2" s="69" t="s">
        <v>104</v>
      </c>
      <c r="AV2" s="69" t="s">
        <v>1325</v>
      </c>
      <c r="AW2" s="69" t="s">
        <v>1377</v>
      </c>
      <c r="AX2" s="69" t="s">
        <v>1378</v>
      </c>
      <c r="AY2" s="69" t="s">
        <v>1315</v>
      </c>
      <c r="AZ2" s="69" t="s">
        <v>1305</v>
      </c>
      <c r="BA2" s="69" t="s">
        <v>1379</v>
      </c>
      <c r="BB2" s="69" t="s">
        <v>1380</v>
      </c>
      <c r="BC2" s="69" t="s">
        <v>1381</v>
      </c>
      <c r="BD2" s="342" t="s">
        <v>1382</v>
      </c>
      <c r="BE2" s="69" t="s">
        <v>1065</v>
      </c>
      <c r="BF2" s="69" t="s">
        <v>1320</v>
      </c>
      <c r="BG2" s="69" t="s">
        <v>1320</v>
      </c>
      <c r="BH2" s="69"/>
      <c r="BI2" s="69"/>
      <c r="BJ2" s="69"/>
      <c r="BK2" s="69" t="s">
        <v>1330</v>
      </c>
      <c r="BL2" s="69" t="s">
        <v>1305</v>
      </c>
      <c r="BM2" s="94"/>
      <c r="BN2" s="70"/>
      <c r="BO2" s="70"/>
      <c r="BP2" s="368" t="s">
        <v>1383</v>
      </c>
      <c r="BQ2" s="368"/>
      <c r="BR2" s="368"/>
      <c r="BS2" s="368"/>
      <c r="BT2" s="368" t="s">
        <v>1384</v>
      </c>
      <c r="BU2" s="368"/>
      <c r="BV2" s="368"/>
      <c r="BW2" s="368"/>
    </row>
    <row r="3" spans="1:79" ht="93.6" hidden="1">
      <c r="A3" s="19" t="s">
        <v>1331</v>
      </c>
      <c r="B3" s="19" t="s">
        <v>1332</v>
      </c>
      <c r="C3" s="19" t="s">
        <v>1333</v>
      </c>
      <c r="D3" s="19" t="s">
        <v>1385</v>
      </c>
      <c r="E3" s="19" t="s">
        <v>1334</v>
      </c>
      <c r="F3" s="30" t="s">
        <v>77</v>
      </c>
      <c r="G3" s="30" t="s">
        <v>1386</v>
      </c>
      <c r="H3" s="20" t="s">
        <v>81</v>
      </c>
      <c r="I3" s="67" t="s">
        <v>84</v>
      </c>
      <c r="J3" s="19" t="s">
        <v>7</v>
      </c>
      <c r="K3" s="19" t="s">
        <v>1387</v>
      </c>
      <c r="L3" s="68" t="s">
        <v>86</v>
      </c>
      <c r="M3" s="68" t="s">
        <v>89</v>
      </c>
      <c r="N3" s="68" t="s">
        <v>91</v>
      </c>
      <c r="O3" s="19" t="s">
        <v>93</v>
      </c>
      <c r="P3" s="19" t="s">
        <v>96</v>
      </c>
      <c r="Q3" s="19" t="s">
        <v>99</v>
      </c>
      <c r="R3" s="19" t="s">
        <v>101</v>
      </c>
      <c r="S3" s="19" t="s">
        <v>104</v>
      </c>
      <c r="T3" s="19" t="s">
        <v>107</v>
      </c>
      <c r="U3" s="19" t="s">
        <v>110</v>
      </c>
      <c r="V3" s="19" t="s">
        <v>1388</v>
      </c>
      <c r="W3" s="19" t="s">
        <v>115</v>
      </c>
      <c r="X3" s="19" t="s">
        <v>118</v>
      </c>
      <c r="Y3" s="19" t="s">
        <v>119</v>
      </c>
      <c r="Z3" s="19" t="s">
        <v>121</v>
      </c>
      <c r="AA3" s="19" t="s">
        <v>123</v>
      </c>
      <c r="AB3" s="19" t="s">
        <v>126</v>
      </c>
      <c r="AC3" s="182" t="s">
        <v>128</v>
      </c>
      <c r="AD3" s="19" t="s">
        <v>1389</v>
      </c>
      <c r="AE3" s="19" t="s">
        <v>1390</v>
      </c>
      <c r="AF3" s="19" t="s">
        <v>1391</v>
      </c>
      <c r="AG3" s="19" t="s">
        <v>132</v>
      </c>
      <c r="AH3" s="19" t="s">
        <v>132</v>
      </c>
      <c r="AI3" s="19" t="s">
        <v>135</v>
      </c>
      <c r="AJ3" s="19" t="s">
        <v>1392</v>
      </c>
      <c r="AK3" s="19" t="s">
        <v>1392</v>
      </c>
      <c r="AL3" s="19" t="s">
        <v>1393</v>
      </c>
      <c r="AM3" s="182" t="s">
        <v>138</v>
      </c>
      <c r="AN3" s="19" t="s">
        <v>1394</v>
      </c>
      <c r="AO3" s="19" t="s">
        <v>1395</v>
      </c>
      <c r="AP3" s="21" t="s">
        <v>1396</v>
      </c>
      <c r="AQ3" s="21" t="s">
        <v>142</v>
      </c>
      <c r="AR3" s="21" t="s">
        <v>145</v>
      </c>
      <c r="AS3" s="21" t="s">
        <v>148</v>
      </c>
      <c r="AT3" s="22" t="s">
        <v>151</v>
      </c>
      <c r="AU3" s="21" t="s">
        <v>154</v>
      </c>
      <c r="AV3" s="21" t="s">
        <v>158</v>
      </c>
      <c r="AW3" s="21" t="s">
        <v>160</v>
      </c>
      <c r="AX3" s="21" t="s">
        <v>163</v>
      </c>
      <c r="AY3" s="21" t="s">
        <v>166</v>
      </c>
      <c r="AZ3" s="21" t="s">
        <v>169</v>
      </c>
      <c r="BA3" s="21" t="s">
        <v>1397</v>
      </c>
      <c r="BB3" s="21" t="s">
        <v>1066</v>
      </c>
      <c r="BC3" s="21" t="s">
        <v>1068</v>
      </c>
      <c r="BD3" s="343" t="s">
        <v>1398</v>
      </c>
      <c r="BE3" s="21" t="s">
        <v>182</v>
      </c>
      <c r="BF3" s="21" t="s">
        <v>1399</v>
      </c>
      <c r="BG3" s="21" t="s">
        <v>1400</v>
      </c>
      <c r="BH3" s="21"/>
      <c r="BI3" s="21"/>
      <c r="BJ3" s="21"/>
      <c r="BK3" s="21" t="s">
        <v>184</v>
      </c>
      <c r="BL3" s="21"/>
      <c r="BM3" s="134" t="s">
        <v>186</v>
      </c>
      <c r="BN3" s="21" t="s">
        <v>75</v>
      </c>
      <c r="BO3" s="117" t="s">
        <v>187</v>
      </c>
      <c r="BP3" s="21" t="s">
        <v>1401</v>
      </c>
      <c r="BQ3" s="21" t="s">
        <v>1402</v>
      </c>
      <c r="BR3" s="47" t="s">
        <v>1403</v>
      </c>
      <c r="BS3" s="21" t="s">
        <v>1404</v>
      </c>
      <c r="BT3" s="21" t="s">
        <v>1405</v>
      </c>
      <c r="BU3" s="21" t="s">
        <v>1406</v>
      </c>
      <c r="BV3" s="47" t="s">
        <v>1407</v>
      </c>
      <c r="BW3" s="21" t="s">
        <v>1404</v>
      </c>
      <c r="BX3" s="124" t="s">
        <v>1408</v>
      </c>
      <c r="BY3" s="18" t="s">
        <v>1409</v>
      </c>
      <c r="BZ3" s="18" t="s">
        <v>1410</v>
      </c>
      <c r="CA3" s="18" t="s">
        <v>1411</v>
      </c>
    </row>
    <row r="4" spans="1:79" ht="93.6">
      <c r="A4" s="19" t="s">
        <v>1331</v>
      </c>
      <c r="B4" s="19" t="s">
        <v>1332</v>
      </c>
      <c r="C4" s="19" t="s">
        <v>1333</v>
      </c>
      <c r="D4" s="19" t="s">
        <v>1385</v>
      </c>
      <c r="E4" s="19" t="s">
        <v>1334</v>
      </c>
      <c r="F4" s="30" t="s">
        <v>77</v>
      </c>
      <c r="G4" s="30" t="s">
        <v>79</v>
      </c>
      <c r="H4" s="20" t="s">
        <v>81</v>
      </c>
      <c r="I4" s="67" t="s">
        <v>225</v>
      </c>
      <c r="J4" s="19" t="s">
        <v>725</v>
      </c>
      <c r="K4" s="19" t="s">
        <v>723</v>
      </c>
      <c r="L4" s="68" t="s">
        <v>253</v>
      </c>
      <c r="M4" s="68" t="s">
        <v>268</v>
      </c>
      <c r="N4" s="68" t="s">
        <v>286</v>
      </c>
      <c r="O4" s="19" t="s">
        <v>303</v>
      </c>
      <c r="P4" s="19" t="s">
        <v>1412</v>
      </c>
      <c r="Q4" s="19" t="s">
        <v>1413</v>
      </c>
      <c r="R4" s="19" t="s">
        <v>101</v>
      </c>
      <c r="S4" s="19" t="s">
        <v>104</v>
      </c>
      <c r="T4" s="19" t="s">
        <v>107</v>
      </c>
      <c r="U4" s="19" t="s">
        <v>1414</v>
      </c>
      <c r="V4" s="19" t="s">
        <v>315</v>
      </c>
      <c r="W4" s="19" t="s">
        <v>306</v>
      </c>
      <c r="X4" s="19" t="s">
        <v>118</v>
      </c>
      <c r="Y4" s="19" t="s">
        <v>1415</v>
      </c>
      <c r="Z4" s="19" t="s">
        <v>121</v>
      </c>
      <c r="AA4" s="19" t="s">
        <v>1416</v>
      </c>
      <c r="AB4" s="19" t="s">
        <v>1417</v>
      </c>
      <c r="AC4" s="182" t="s">
        <v>128</v>
      </c>
      <c r="AD4" s="19" t="s">
        <v>1389</v>
      </c>
      <c r="AE4" s="19" t="s">
        <v>1418</v>
      </c>
      <c r="AF4" s="19" t="s">
        <v>1419</v>
      </c>
      <c r="AG4" s="19" t="s">
        <v>1420</v>
      </c>
      <c r="AH4" s="19" t="s">
        <v>1421</v>
      </c>
      <c r="AI4" s="19" t="s">
        <v>1422</v>
      </c>
      <c r="AJ4" s="19" t="s">
        <v>1392</v>
      </c>
      <c r="AK4" s="19" t="s">
        <v>1423</v>
      </c>
      <c r="AL4" s="19" t="s">
        <v>1424</v>
      </c>
      <c r="AM4" s="182" t="s">
        <v>138</v>
      </c>
      <c r="AN4" s="19" t="s">
        <v>1394</v>
      </c>
      <c r="AO4" s="19" t="s">
        <v>1425</v>
      </c>
      <c r="AP4" s="21" t="s">
        <v>1426</v>
      </c>
      <c r="AQ4" s="21" t="s">
        <v>1427</v>
      </c>
      <c r="AR4" s="21" t="s">
        <v>1428</v>
      </c>
      <c r="AS4" s="21" t="s">
        <v>1429</v>
      </c>
      <c r="AT4" s="22" t="s">
        <v>1430</v>
      </c>
      <c r="AU4" s="21" t="s">
        <v>1431</v>
      </c>
      <c r="AV4" s="367" t="s">
        <v>1432</v>
      </c>
      <c r="AW4" s="21" t="s">
        <v>1433</v>
      </c>
      <c r="AX4" s="21" t="s">
        <v>1434</v>
      </c>
      <c r="AY4" s="21" t="s">
        <v>1435</v>
      </c>
      <c r="AZ4" s="21" t="s">
        <v>169</v>
      </c>
      <c r="BA4" s="21" t="s">
        <v>1436</v>
      </c>
      <c r="BB4" s="21" t="s">
        <v>1066</v>
      </c>
      <c r="BC4" s="21" t="s">
        <v>1068</v>
      </c>
      <c r="BD4" s="348" t="s">
        <v>1398</v>
      </c>
      <c r="BE4" s="21" t="s">
        <v>310</v>
      </c>
      <c r="BF4" s="21" t="s">
        <v>1399</v>
      </c>
      <c r="BG4" s="21" t="s">
        <v>1400</v>
      </c>
      <c r="BH4" s="21" t="s">
        <v>1437</v>
      </c>
      <c r="BI4" s="21" t="s">
        <v>1438</v>
      </c>
      <c r="BJ4" s="21" t="s">
        <v>1439</v>
      </c>
      <c r="BK4" s="21" t="s">
        <v>1440</v>
      </c>
      <c r="BL4" s="21" t="s">
        <v>1441</v>
      </c>
      <c r="BM4" s="134" t="s">
        <v>186</v>
      </c>
      <c r="BN4" s="21" t="s">
        <v>75</v>
      </c>
      <c r="BO4" s="117" t="s">
        <v>187</v>
      </c>
      <c r="BP4" s="21" t="s">
        <v>1401</v>
      </c>
      <c r="BQ4" s="21" t="s">
        <v>1402</v>
      </c>
      <c r="BR4" s="47" t="s">
        <v>1403</v>
      </c>
      <c r="BS4" s="21" t="s">
        <v>1404</v>
      </c>
      <c r="BT4" s="21" t="s">
        <v>1405</v>
      </c>
      <c r="BU4" s="21" t="s">
        <v>1406</v>
      </c>
      <c r="BV4" s="47" t="s">
        <v>1407</v>
      </c>
      <c r="BW4" s="21" t="s">
        <v>1404</v>
      </c>
      <c r="BX4" s="124" t="s">
        <v>1408</v>
      </c>
      <c r="BY4" s="18" t="s">
        <v>1409</v>
      </c>
      <c r="BZ4" s="18" t="s">
        <v>1410</v>
      </c>
      <c r="CA4" s="18" t="s">
        <v>1411</v>
      </c>
    </row>
    <row r="5" spans="1:79" ht="46.8">
      <c r="A5" s="23" t="b">
        <v>0</v>
      </c>
      <c r="B5" s="57" t="s">
        <v>1442</v>
      </c>
      <c r="C5" s="57" t="s">
        <v>1443</v>
      </c>
      <c r="D5" s="23" t="b">
        <v>0</v>
      </c>
      <c r="E5" s="23" t="b">
        <v>0</v>
      </c>
      <c r="F5" s="31" t="s">
        <v>1444</v>
      </c>
      <c r="G5" s="18" t="s">
        <v>1445</v>
      </c>
      <c r="I5" s="18" t="s">
        <v>227</v>
      </c>
      <c r="J5" s="47" t="s">
        <v>665</v>
      </c>
      <c r="K5" t="s">
        <v>1446</v>
      </c>
      <c r="L5" s="24" t="s">
        <v>227</v>
      </c>
      <c r="M5" s="24" t="s">
        <v>282</v>
      </c>
      <c r="N5" s="24" t="s">
        <v>288</v>
      </c>
      <c r="O5" s="24" t="s">
        <v>304</v>
      </c>
      <c r="P5" s="24">
        <v>20</v>
      </c>
      <c r="Q5" s="24">
        <v>2030</v>
      </c>
      <c r="R5" s="24" t="s">
        <v>456</v>
      </c>
      <c r="S5" s="24" t="s">
        <v>475</v>
      </c>
      <c r="T5" s="24">
        <v>2025</v>
      </c>
      <c r="U5" s="189">
        <v>9</v>
      </c>
      <c r="V5" s="24" t="str">
        <f>IF(U5="", "", IF(VALUE(LEFT(U5, 1))&gt;=9, "Mature", IF(VALUE(LEFT(U5, 1))&gt;=7, "Emerging", "Prototype")))</f>
        <v>Mature</v>
      </c>
      <c r="W5" s="24" t="s">
        <v>1447</v>
      </c>
      <c r="X5" s="23" t="b">
        <v>0</v>
      </c>
      <c r="AA5" s="24" t="s">
        <v>1448</v>
      </c>
      <c r="AB5" s="24" t="s">
        <v>392</v>
      </c>
      <c r="AE5" s="184" t="s">
        <v>1449</v>
      </c>
      <c r="AF5" s="24" t="s">
        <v>1450</v>
      </c>
      <c r="AG5" s="24" t="s">
        <v>384</v>
      </c>
      <c r="AH5" s="24" t="s">
        <v>384</v>
      </c>
      <c r="AI5" s="24" t="s">
        <v>384</v>
      </c>
      <c r="AJ5" s="184">
        <v>0.95</v>
      </c>
      <c r="AK5" s="184">
        <v>0.95</v>
      </c>
      <c r="AL5" s="24" t="s">
        <v>1451</v>
      </c>
      <c r="AO5" s="165" t="s">
        <v>264</v>
      </c>
      <c r="AP5" s="24"/>
      <c r="AQ5" s="24" t="s">
        <v>1452</v>
      </c>
      <c r="AR5" s="24">
        <v>25</v>
      </c>
      <c r="AS5" s="24">
        <v>0</v>
      </c>
      <c r="AT5" s="27" t="s">
        <v>1453</v>
      </c>
      <c r="AU5" s="24">
        <v>0</v>
      </c>
      <c r="AV5" s="200">
        <f>151/2800*100</f>
        <v>5.3928571428571432</v>
      </c>
      <c r="AW5" s="27" t="s">
        <v>1454</v>
      </c>
      <c r="AX5" s="27" t="s">
        <v>1455</v>
      </c>
      <c r="AZ5" s="23" t="b">
        <v>0</v>
      </c>
      <c r="BA5" s="24" t="s">
        <v>1456</v>
      </c>
      <c r="BB5" s="349" t="s">
        <v>1457</v>
      </c>
      <c r="BC5" s="349" t="s">
        <v>1089</v>
      </c>
      <c r="BD5" s="350">
        <v>4.0160999999999999E-3</v>
      </c>
      <c r="BE5" s="349" t="s">
        <v>1075</v>
      </c>
      <c r="BF5" s="18" t="s">
        <v>264</v>
      </c>
      <c r="BG5" s="18" t="s">
        <v>264</v>
      </c>
      <c r="BH5" s="18" t="s">
        <v>264</v>
      </c>
      <c r="BI5" s="18" t="s">
        <v>264</v>
      </c>
      <c r="BJ5" s="18" t="s">
        <v>264</v>
      </c>
      <c r="BK5" s="18" t="s">
        <v>1458</v>
      </c>
      <c r="BL5" s="18" t="s">
        <v>1459</v>
      </c>
      <c r="BM5" s="95" t="s">
        <v>1460</v>
      </c>
      <c r="BO5" s="137"/>
    </row>
    <row r="6" spans="1:79" ht="46.8">
      <c r="A6" s="23" t="b">
        <v>0</v>
      </c>
      <c r="B6" s="57" t="s">
        <v>1442</v>
      </c>
      <c r="C6" s="57" t="s">
        <v>1443</v>
      </c>
      <c r="D6" s="23" t="b">
        <v>0</v>
      </c>
      <c r="E6" s="23" t="b">
        <v>0</v>
      </c>
      <c r="F6" s="31" t="s">
        <v>1461</v>
      </c>
      <c r="G6" s="18" t="s">
        <v>1462</v>
      </c>
      <c r="I6" s="18" t="s">
        <v>227</v>
      </c>
      <c r="J6" s="47" t="s">
        <v>1463</v>
      </c>
      <c r="K6" t="s">
        <v>1446</v>
      </c>
      <c r="L6" s="24" t="s">
        <v>227</v>
      </c>
      <c r="M6" s="24" t="s">
        <v>282</v>
      </c>
      <c r="N6" s="24" t="s">
        <v>288</v>
      </c>
      <c r="O6" s="24" t="s">
        <v>304</v>
      </c>
      <c r="P6" s="24">
        <v>20</v>
      </c>
      <c r="Q6" s="24">
        <v>2040</v>
      </c>
      <c r="R6" s="24" t="s">
        <v>456</v>
      </c>
      <c r="S6" s="24" t="s">
        <v>475</v>
      </c>
      <c r="T6" s="24">
        <v>2025</v>
      </c>
      <c r="U6" s="189">
        <v>9</v>
      </c>
      <c r="V6" s="24" t="str">
        <f>IF(U6="", "", IF(VALUE(LEFT(U6, 1))&gt;=9, "Mature", IF(VALUE(LEFT(U6, 1))&gt;=7, "Emerging", "Prototype")))</f>
        <v>Mature</v>
      </c>
      <c r="W6" s="24" t="s">
        <v>1447</v>
      </c>
      <c r="X6" s="23" t="b">
        <v>0</v>
      </c>
      <c r="AA6" s="24" t="s">
        <v>1448</v>
      </c>
      <c r="AB6" s="24" t="s">
        <v>392</v>
      </c>
      <c r="AE6" s="184" t="s">
        <v>1449</v>
      </c>
      <c r="AF6" s="24" t="s">
        <v>1450</v>
      </c>
      <c r="AG6" s="24" t="s">
        <v>384</v>
      </c>
      <c r="AH6" s="24" t="s">
        <v>384</v>
      </c>
      <c r="AI6" s="24" t="s">
        <v>384</v>
      </c>
      <c r="AJ6" s="184">
        <v>0.95</v>
      </c>
      <c r="AK6" s="184">
        <v>0.95</v>
      </c>
      <c r="AL6" s="24" t="s">
        <v>1451</v>
      </c>
      <c r="AO6" s="165" t="s">
        <v>264</v>
      </c>
      <c r="AP6" s="24"/>
      <c r="AQ6" s="24" t="s">
        <v>1452</v>
      </c>
      <c r="AR6" s="24">
        <v>25</v>
      </c>
      <c r="AS6" s="24">
        <v>0</v>
      </c>
      <c r="AT6" s="27" t="s">
        <v>1453</v>
      </c>
      <c r="AU6" s="24">
        <v>0</v>
      </c>
      <c r="AV6" s="200">
        <f>151/2800*100</f>
        <v>5.3928571428571432</v>
      </c>
      <c r="AW6" s="27" t="s">
        <v>1454</v>
      </c>
      <c r="AX6" s="27" t="s">
        <v>1455</v>
      </c>
      <c r="AZ6" s="23" t="b">
        <v>0</v>
      </c>
      <c r="BA6" s="24" t="s">
        <v>1456</v>
      </c>
      <c r="BB6" s="349" t="s">
        <v>1457</v>
      </c>
      <c r="BC6" s="349" t="s">
        <v>1089</v>
      </c>
      <c r="BD6" s="350">
        <v>3.4034999999999998E-3</v>
      </c>
      <c r="BE6" s="349" t="s">
        <v>1076</v>
      </c>
      <c r="BF6" s="18" t="s">
        <v>264</v>
      </c>
      <c r="BG6" s="18" t="s">
        <v>264</v>
      </c>
      <c r="BH6" s="18" t="s">
        <v>264</v>
      </c>
      <c r="BI6" s="18" t="s">
        <v>264</v>
      </c>
      <c r="BJ6" s="18" t="s">
        <v>264</v>
      </c>
      <c r="BK6" s="18" t="s">
        <v>1458</v>
      </c>
      <c r="BL6" s="18" t="s">
        <v>1459</v>
      </c>
      <c r="BM6" s="95" t="s">
        <v>1460</v>
      </c>
      <c r="BO6" s="137" t="s">
        <v>1464</v>
      </c>
    </row>
    <row r="7" spans="1:79" ht="46.8">
      <c r="A7" s="23" t="b">
        <v>1</v>
      </c>
      <c r="B7" s="107" t="s">
        <v>1442</v>
      </c>
      <c r="C7" s="57" t="s">
        <v>1443</v>
      </c>
      <c r="D7" s="23" t="b">
        <v>0</v>
      </c>
      <c r="E7" s="23" t="b">
        <v>0</v>
      </c>
      <c r="F7" s="31" t="s">
        <v>1465</v>
      </c>
      <c r="G7" s="18" t="s">
        <v>1466</v>
      </c>
      <c r="I7" s="18" t="s">
        <v>227</v>
      </c>
      <c r="J7" s="47" t="s">
        <v>1467</v>
      </c>
      <c r="K7" t="s">
        <v>1446</v>
      </c>
      <c r="L7" s="24" t="s">
        <v>227</v>
      </c>
      <c r="M7" s="24" t="s">
        <v>282</v>
      </c>
      <c r="N7" s="24" t="s">
        <v>288</v>
      </c>
      <c r="O7" s="24" t="s">
        <v>304</v>
      </c>
      <c r="P7" s="24">
        <v>20</v>
      </c>
      <c r="Q7" s="24">
        <v>2050</v>
      </c>
      <c r="R7" s="24" t="s">
        <v>456</v>
      </c>
      <c r="S7" s="24" t="s">
        <v>475</v>
      </c>
      <c r="T7" s="24">
        <v>2025</v>
      </c>
      <c r="U7" s="189">
        <v>9</v>
      </c>
      <c r="V7" s="24" t="str">
        <f t="shared" ref="V7:V70" si="0">IF(U7="", "", IF(VALUE(LEFT(U7, 1))&gt;=9, "Mature", IF(VALUE(LEFT(U7, 1))&gt;=7, "Emerging", "Prototype")))</f>
        <v>Mature</v>
      </c>
      <c r="W7" s="24" t="s">
        <v>1447</v>
      </c>
      <c r="X7" s="23" t="b">
        <v>0</v>
      </c>
      <c r="AA7" s="24" t="s">
        <v>1448</v>
      </c>
      <c r="AB7" s="24" t="s">
        <v>392</v>
      </c>
      <c r="AE7" s="184" t="s">
        <v>1449</v>
      </c>
      <c r="AF7" s="24" t="s">
        <v>1450</v>
      </c>
      <c r="AG7" s="24" t="s">
        <v>384</v>
      </c>
      <c r="AH7" s="24" t="s">
        <v>384</v>
      </c>
      <c r="AI7" s="24" t="s">
        <v>384</v>
      </c>
      <c r="AJ7" s="184">
        <v>0.95</v>
      </c>
      <c r="AK7" s="184">
        <v>0.95</v>
      </c>
      <c r="AL7" s="24" t="s">
        <v>1451</v>
      </c>
      <c r="AO7" s="165" t="s">
        <v>264</v>
      </c>
      <c r="AP7" s="24"/>
      <c r="AQ7" s="24" t="s">
        <v>1452</v>
      </c>
      <c r="AR7" s="24">
        <v>25</v>
      </c>
      <c r="AS7" s="24">
        <v>0</v>
      </c>
      <c r="AT7" s="27" t="s">
        <v>1453</v>
      </c>
      <c r="AU7" s="24">
        <v>0</v>
      </c>
      <c r="AV7" s="200">
        <f>151/2800*100</f>
        <v>5.3928571428571432</v>
      </c>
      <c r="AW7" s="27" t="s">
        <v>1454</v>
      </c>
      <c r="AX7" s="27" t="s">
        <v>1455</v>
      </c>
      <c r="AZ7" s="23" t="b">
        <v>0</v>
      </c>
      <c r="BA7" s="24" t="s">
        <v>1456</v>
      </c>
      <c r="BB7" s="349" t="s">
        <v>1457</v>
      </c>
      <c r="BC7" s="349" t="s">
        <v>1089</v>
      </c>
      <c r="BD7" s="350">
        <v>3.1205999999999998E-3</v>
      </c>
      <c r="BE7" s="349" t="s">
        <v>1077</v>
      </c>
      <c r="BF7" s="18" t="s">
        <v>264</v>
      </c>
      <c r="BG7" s="18" t="s">
        <v>264</v>
      </c>
      <c r="BH7" s="18" t="s">
        <v>264</v>
      </c>
      <c r="BI7" s="18" t="s">
        <v>264</v>
      </c>
      <c r="BJ7" s="18" t="s">
        <v>264</v>
      </c>
      <c r="BK7" s="18" t="s">
        <v>1458</v>
      </c>
      <c r="BL7" s="18" t="s">
        <v>1459</v>
      </c>
      <c r="BM7" s="112" t="s">
        <v>1468</v>
      </c>
      <c r="BO7" s="137" t="s">
        <v>1464</v>
      </c>
    </row>
    <row r="8" spans="1:79">
      <c r="A8" s="23" t="b">
        <v>1</v>
      </c>
      <c r="B8" s="95" t="s">
        <v>1469</v>
      </c>
      <c r="D8" s="23" t="b">
        <v>0</v>
      </c>
      <c r="E8" s="23" t="b">
        <v>0</v>
      </c>
      <c r="F8" s="18" t="s">
        <v>1470</v>
      </c>
      <c r="G8" s="18" t="s">
        <v>1471</v>
      </c>
      <c r="H8" s="18"/>
      <c r="K8" s="47" t="s">
        <v>787</v>
      </c>
      <c r="L8" s="18" t="s">
        <v>254</v>
      </c>
      <c r="O8" s="18" t="s">
        <v>304</v>
      </c>
      <c r="Q8" s="18">
        <v>2050</v>
      </c>
      <c r="R8" s="18" t="s">
        <v>456</v>
      </c>
      <c r="S8" s="18" t="s">
        <v>475</v>
      </c>
      <c r="T8" s="18"/>
      <c r="U8" s="143">
        <v>8</v>
      </c>
      <c r="V8" s="24" t="str">
        <f t="shared" si="0"/>
        <v>Emerging</v>
      </c>
      <c r="W8" s="18" t="s">
        <v>1350</v>
      </c>
      <c r="X8" s="18"/>
      <c r="Y8" s="18">
        <v>0.57999999999999996</v>
      </c>
      <c r="Z8" s="18"/>
      <c r="AA8" s="18" t="s">
        <v>452</v>
      </c>
      <c r="AB8" s="18" t="s">
        <v>452</v>
      </c>
      <c r="AC8" s="143"/>
      <c r="AD8" s="18"/>
      <c r="AE8" s="18">
        <v>1</v>
      </c>
      <c r="AF8" s="18" t="s">
        <v>1351</v>
      </c>
      <c r="AG8" s="18" t="s">
        <v>346</v>
      </c>
      <c r="AH8" s="18" t="s">
        <v>346</v>
      </c>
      <c r="AI8" s="18" t="s">
        <v>346</v>
      </c>
      <c r="AJ8" s="194">
        <v>0.57999999999999996</v>
      </c>
      <c r="AK8" s="194">
        <v>0.57999999999999996</v>
      </c>
      <c r="AL8" s="18" t="s">
        <v>1351</v>
      </c>
      <c r="AM8" s="143"/>
      <c r="AO8" s="194">
        <v>0</v>
      </c>
      <c r="AP8" s="18">
        <v>0</v>
      </c>
      <c r="AQ8" s="18">
        <v>0</v>
      </c>
      <c r="AR8" s="18">
        <v>35</v>
      </c>
      <c r="AS8" s="18">
        <v>0</v>
      </c>
      <c r="AT8" s="27">
        <v>1200</v>
      </c>
      <c r="AU8" s="18">
        <v>0</v>
      </c>
      <c r="AV8" s="161"/>
      <c r="AW8" s="18">
        <v>35</v>
      </c>
      <c r="AX8" s="97">
        <v>2E-3</v>
      </c>
      <c r="BB8" s="349" t="s">
        <v>1472</v>
      </c>
      <c r="BC8" s="349" t="s">
        <v>1081</v>
      </c>
      <c r="BD8" s="350">
        <v>72.892403200000004</v>
      </c>
      <c r="BE8" s="349" t="s">
        <v>1077</v>
      </c>
      <c r="BF8" s="18" t="s">
        <v>1473</v>
      </c>
      <c r="BG8" s="18">
        <v>1000</v>
      </c>
      <c r="BH8" s="18">
        <v>-0.69059999999999999</v>
      </c>
      <c r="BI8" s="18">
        <v>1.2200000000000001E-2</v>
      </c>
      <c r="BJ8" s="18" t="s">
        <v>1474</v>
      </c>
      <c r="BK8" s="18" t="s">
        <v>1475</v>
      </c>
      <c r="BL8" s="18" t="s">
        <v>1459</v>
      </c>
      <c r="BO8" s="106"/>
    </row>
    <row r="9" spans="1:79" s="159" customFormat="1">
      <c r="A9" s="23" t="b">
        <v>1</v>
      </c>
      <c r="B9" s="95" t="s">
        <v>1476</v>
      </c>
      <c r="C9" s="18"/>
      <c r="D9" s="23" t="b">
        <v>0</v>
      </c>
      <c r="E9" s="23" t="b">
        <v>0</v>
      </c>
      <c r="F9" s="31" t="s">
        <v>1477</v>
      </c>
      <c r="G9" s="18" t="s">
        <v>1478</v>
      </c>
      <c r="H9" s="31"/>
      <c r="I9" s="18" t="s">
        <v>237</v>
      </c>
      <c r="J9" s="47" t="s">
        <v>1479</v>
      </c>
      <c r="K9" s="47" t="s">
        <v>704</v>
      </c>
      <c r="L9" s="18" t="s">
        <v>254</v>
      </c>
      <c r="M9" s="18"/>
      <c r="N9" s="18"/>
      <c r="O9" s="24" t="s">
        <v>304</v>
      </c>
      <c r="P9" s="18"/>
      <c r="Q9" s="24">
        <v>2050</v>
      </c>
      <c r="R9" s="24" t="s">
        <v>456</v>
      </c>
      <c r="S9" s="24" t="s">
        <v>475</v>
      </c>
      <c r="T9" s="165">
        <v>2025</v>
      </c>
      <c r="U9" s="189">
        <v>9</v>
      </c>
      <c r="V9" s="24" t="str">
        <f t="shared" si="0"/>
        <v>Mature</v>
      </c>
      <c r="W9" s="24" t="s">
        <v>1350</v>
      </c>
      <c r="X9" s="24"/>
      <c r="Y9" s="24">
        <v>0.25</v>
      </c>
      <c r="Z9" s="24"/>
      <c r="AA9" s="24" t="s">
        <v>1480</v>
      </c>
      <c r="AB9" s="24" t="s">
        <v>396</v>
      </c>
      <c r="AC9" s="184"/>
      <c r="AD9" s="24"/>
      <c r="AE9" s="24" t="s">
        <v>1481</v>
      </c>
      <c r="AF9" s="24" t="s">
        <v>1482</v>
      </c>
      <c r="AG9" s="24" t="s">
        <v>1483</v>
      </c>
      <c r="AH9" s="24" t="s">
        <v>1483</v>
      </c>
      <c r="AI9" s="18" t="s">
        <v>452</v>
      </c>
      <c r="AJ9" s="24" t="s">
        <v>1484</v>
      </c>
      <c r="AK9" s="24" t="s">
        <v>1484</v>
      </c>
      <c r="AL9" s="24" t="s">
        <v>1485</v>
      </c>
      <c r="AM9" s="184"/>
      <c r="AN9" s="18"/>
      <c r="AO9" s="194">
        <v>0.879</v>
      </c>
      <c r="AP9" s="18">
        <v>550</v>
      </c>
      <c r="AQ9" s="18">
        <v>0</v>
      </c>
      <c r="AR9" s="18">
        <v>20</v>
      </c>
      <c r="AS9" s="18"/>
      <c r="AT9" s="171">
        <v>870</v>
      </c>
      <c r="AU9" s="18">
        <v>0</v>
      </c>
      <c r="AV9" s="161"/>
      <c r="AW9" s="18">
        <v>17</v>
      </c>
      <c r="AX9" s="177">
        <v>0</v>
      </c>
      <c r="AY9" s="18"/>
      <c r="AZ9" s="18"/>
      <c r="BA9" s="18"/>
      <c r="BB9" s="349" t="s">
        <v>1486</v>
      </c>
      <c r="BC9" s="349" t="s">
        <v>1089</v>
      </c>
      <c r="BD9" s="350">
        <v>2.73E-5</v>
      </c>
      <c r="BE9" s="349" t="s">
        <v>1077</v>
      </c>
      <c r="BF9" s="18" t="s">
        <v>1487</v>
      </c>
      <c r="BG9" s="18">
        <v>1000</v>
      </c>
      <c r="BH9" s="18">
        <v>0.68530000000000002</v>
      </c>
      <c r="BI9" s="18">
        <v>5.8999999999999999E-3</v>
      </c>
      <c r="BJ9" s="18" t="s">
        <v>1474</v>
      </c>
      <c r="BK9" s="18" t="s">
        <v>1488</v>
      </c>
      <c r="BL9" s="18" t="s">
        <v>1459</v>
      </c>
      <c r="BM9" s="18"/>
      <c r="BN9" s="18"/>
      <c r="BO9" s="47"/>
    </row>
    <row r="10" spans="1:79" s="159" customFormat="1">
      <c r="A10" s="23">
        <v>1</v>
      </c>
      <c r="B10" s="95"/>
      <c r="C10" s="18"/>
      <c r="D10" s="23" t="b">
        <v>0</v>
      </c>
      <c r="E10" s="23" t="b">
        <v>0</v>
      </c>
      <c r="F10" s="18" t="s">
        <v>1489</v>
      </c>
      <c r="G10" s="18" t="s">
        <v>1490</v>
      </c>
      <c r="H10" s="18"/>
      <c r="I10" s="18"/>
      <c r="J10" s="47"/>
      <c r="K10" s="47" t="s">
        <v>734</v>
      </c>
      <c r="L10" s="18" t="s">
        <v>254</v>
      </c>
      <c r="M10" s="18"/>
      <c r="N10" s="18"/>
      <c r="O10" s="18" t="s">
        <v>304</v>
      </c>
      <c r="P10" s="18"/>
      <c r="Q10" s="18">
        <v>2050</v>
      </c>
      <c r="R10" s="18" t="s">
        <v>456</v>
      </c>
      <c r="S10" s="18" t="s">
        <v>475</v>
      </c>
      <c r="T10" s="18"/>
      <c r="U10" s="143">
        <v>8</v>
      </c>
      <c r="V10" s="24" t="str">
        <f t="shared" si="0"/>
        <v>Emerging</v>
      </c>
      <c r="W10" s="18" t="s">
        <v>1350</v>
      </c>
      <c r="X10" s="18"/>
      <c r="Y10" s="18">
        <v>0.4</v>
      </c>
      <c r="Z10" s="18"/>
      <c r="AA10" s="18" t="s">
        <v>452</v>
      </c>
      <c r="AB10" s="18" t="s">
        <v>452</v>
      </c>
      <c r="AC10" s="143"/>
      <c r="AD10" s="18"/>
      <c r="AE10" s="18">
        <v>1</v>
      </c>
      <c r="AF10" s="18" t="s">
        <v>1351</v>
      </c>
      <c r="AG10" s="18" t="s">
        <v>346</v>
      </c>
      <c r="AH10" s="18" t="s">
        <v>346</v>
      </c>
      <c r="AI10" s="18" t="s">
        <v>346</v>
      </c>
      <c r="AJ10" s="194">
        <v>0.4</v>
      </c>
      <c r="AK10" s="194">
        <v>0.4</v>
      </c>
      <c r="AL10" s="18" t="s">
        <v>1351</v>
      </c>
      <c r="AM10" s="143"/>
      <c r="AN10" s="18"/>
      <c r="AO10" s="194">
        <v>0</v>
      </c>
      <c r="AP10" s="18">
        <v>0</v>
      </c>
      <c r="AQ10" s="18">
        <v>0</v>
      </c>
      <c r="AR10" s="18">
        <v>30</v>
      </c>
      <c r="AS10" s="18">
        <v>0</v>
      </c>
      <c r="AT10" s="27">
        <v>750</v>
      </c>
      <c r="AU10" s="18">
        <v>0</v>
      </c>
      <c r="AV10" s="161"/>
      <c r="AW10" s="18">
        <v>20</v>
      </c>
      <c r="AX10" s="97">
        <v>2E-3</v>
      </c>
      <c r="AY10" s="18"/>
      <c r="AZ10" s="18"/>
      <c r="BA10" s="18"/>
      <c r="BB10" s="349" t="s">
        <v>1491</v>
      </c>
      <c r="BC10" s="349" t="s">
        <v>1081</v>
      </c>
      <c r="BD10" s="350">
        <v>62.633809399999997</v>
      </c>
      <c r="BE10" s="349" t="s">
        <v>1077</v>
      </c>
      <c r="BF10" s="18" t="s">
        <v>1492</v>
      </c>
      <c r="BG10" s="18">
        <v>1000</v>
      </c>
      <c r="BH10" s="18">
        <v>-0.69059999999999999</v>
      </c>
      <c r="BI10" s="18">
        <v>1.2200000000000001E-2</v>
      </c>
      <c r="BJ10" s="18" t="s">
        <v>1474</v>
      </c>
      <c r="BK10" s="18" t="s">
        <v>1488</v>
      </c>
      <c r="BL10" s="18" t="s">
        <v>1459</v>
      </c>
      <c r="BM10" s="18"/>
      <c r="BN10" s="18"/>
      <c r="BO10" s="47"/>
    </row>
    <row r="11" spans="1:79" ht="25.8">
      <c r="A11" s="23" t="b">
        <v>0</v>
      </c>
      <c r="B11" s="57" t="s">
        <v>1442</v>
      </c>
      <c r="C11" s="57" t="s">
        <v>1336</v>
      </c>
      <c r="D11" s="23" t="b">
        <v>0</v>
      </c>
      <c r="E11" s="23" t="b">
        <v>0</v>
      </c>
      <c r="F11" s="31" t="s">
        <v>916</v>
      </c>
      <c r="G11" s="18" t="s">
        <v>915</v>
      </c>
      <c r="I11" s="18" t="s">
        <v>1493</v>
      </c>
      <c r="J11" s="47" t="s">
        <v>691</v>
      </c>
      <c r="K11" s="47" t="s">
        <v>918</v>
      </c>
      <c r="L11" s="24" t="s">
        <v>255</v>
      </c>
      <c r="M11" s="24" t="s">
        <v>283</v>
      </c>
      <c r="N11" s="24" t="s">
        <v>300</v>
      </c>
      <c r="O11" s="24" t="s">
        <v>304</v>
      </c>
      <c r="P11" s="24">
        <v>0.05</v>
      </c>
      <c r="Q11" s="24">
        <v>2025</v>
      </c>
      <c r="R11" s="24" t="s">
        <v>456</v>
      </c>
      <c r="S11" s="24" t="s">
        <v>475</v>
      </c>
      <c r="T11" s="24">
        <v>2025</v>
      </c>
      <c r="U11" s="189">
        <v>7</v>
      </c>
      <c r="V11" s="24" t="str">
        <f t="shared" si="0"/>
        <v>Emerging</v>
      </c>
      <c r="X11" s="23" t="b">
        <v>0</v>
      </c>
      <c r="AA11" s="24" t="s">
        <v>339</v>
      </c>
      <c r="AB11" s="24" t="s">
        <v>264</v>
      </c>
      <c r="AE11" s="184">
        <v>1</v>
      </c>
      <c r="AF11" s="24" t="s">
        <v>1351</v>
      </c>
      <c r="AG11" s="24" t="s">
        <v>1494</v>
      </c>
      <c r="AH11" s="24" t="s">
        <v>1494</v>
      </c>
      <c r="AI11" s="18" t="s">
        <v>378</v>
      </c>
      <c r="AJ11" s="184">
        <v>6.3E-2</v>
      </c>
      <c r="AK11" s="184">
        <v>6.3E-2</v>
      </c>
      <c r="AL11" s="24" t="s">
        <v>1451</v>
      </c>
      <c r="AO11" s="165" t="s">
        <v>264</v>
      </c>
      <c r="AP11" s="24">
        <v>700</v>
      </c>
      <c r="AQ11" s="24">
        <v>0</v>
      </c>
      <c r="AR11" s="24">
        <v>20</v>
      </c>
      <c r="AS11" s="24">
        <v>0</v>
      </c>
      <c r="AT11" s="228" t="s">
        <v>1495</v>
      </c>
      <c r="AU11" s="24">
        <v>0</v>
      </c>
      <c r="AV11" s="200">
        <v>2.5</v>
      </c>
      <c r="AW11" s="228" t="s">
        <v>1496</v>
      </c>
      <c r="AX11" s="175">
        <v>0</v>
      </c>
      <c r="AZ11" s="23" t="b">
        <v>0</v>
      </c>
      <c r="BA11" s="24" t="s">
        <v>1497</v>
      </c>
      <c r="BB11" s="349"/>
      <c r="BC11" s="349"/>
      <c r="BD11" s="350"/>
      <c r="BE11" s="349"/>
      <c r="BF11" s="18" t="s">
        <v>264</v>
      </c>
      <c r="BG11" s="18" t="s">
        <v>264</v>
      </c>
      <c r="BK11" s="114" t="s">
        <v>1498</v>
      </c>
      <c r="BL11" s="360"/>
      <c r="BM11" s="95" t="s">
        <v>1499</v>
      </c>
      <c r="BO11" s="137" t="s">
        <v>1464</v>
      </c>
    </row>
    <row r="12" spans="1:79" ht="93.6">
      <c r="A12" s="23" t="b">
        <v>1</v>
      </c>
      <c r="B12" s="57" t="s">
        <v>1469</v>
      </c>
      <c r="C12" s="57"/>
      <c r="D12" s="23" t="b">
        <v>0</v>
      </c>
      <c r="E12" s="23" t="b">
        <v>0</v>
      </c>
      <c r="F12" s="31" t="s">
        <v>1500</v>
      </c>
      <c r="G12" s="18" t="s">
        <v>1501</v>
      </c>
      <c r="I12" s="18" t="s">
        <v>227</v>
      </c>
      <c r="J12" s="47" t="s">
        <v>1502</v>
      </c>
      <c r="K12" t="s">
        <v>270</v>
      </c>
      <c r="L12" s="24" t="s">
        <v>256</v>
      </c>
      <c r="M12" s="24" t="s">
        <v>270</v>
      </c>
      <c r="N12" s="24" t="s">
        <v>287</v>
      </c>
      <c r="O12" s="24" t="s">
        <v>304</v>
      </c>
      <c r="P12" s="24"/>
      <c r="Q12" s="24">
        <v>2030</v>
      </c>
      <c r="R12" s="24" t="s">
        <v>456</v>
      </c>
      <c r="S12" s="24" t="s">
        <v>475</v>
      </c>
      <c r="U12" s="189">
        <v>7</v>
      </c>
      <c r="V12" s="24" t="str">
        <f t="shared" si="0"/>
        <v>Emerging</v>
      </c>
      <c r="X12" s="23" t="b">
        <v>0</v>
      </c>
      <c r="AA12" s="24" t="s">
        <v>1503</v>
      </c>
      <c r="AB12" s="18" t="s">
        <v>352</v>
      </c>
      <c r="AE12" s="184" t="s">
        <v>2362</v>
      </c>
      <c r="AF12" s="24" t="s">
        <v>1485</v>
      </c>
      <c r="AG12" s="24" t="s">
        <v>384</v>
      </c>
      <c r="AH12" s="24" t="s">
        <v>384</v>
      </c>
      <c r="AI12" s="24" t="s">
        <v>384</v>
      </c>
      <c r="AJ12" s="184">
        <v>0.39500000000000002</v>
      </c>
      <c r="AK12" s="184">
        <v>0.39500000000000002</v>
      </c>
      <c r="AL12" s="24" t="s">
        <v>1451</v>
      </c>
      <c r="AO12" s="165" t="s">
        <v>264</v>
      </c>
      <c r="AP12" s="24">
        <v>0</v>
      </c>
      <c r="AQ12" s="24">
        <v>0</v>
      </c>
      <c r="AR12" s="24">
        <v>25</v>
      </c>
      <c r="AS12" s="24">
        <v>0</v>
      </c>
      <c r="AT12" s="167" t="s">
        <v>1504</v>
      </c>
      <c r="AU12" s="24">
        <v>0</v>
      </c>
      <c r="AV12" s="111" t="e">
        <f>+AW12/AT12%</f>
        <v>#VALUE!</v>
      </c>
      <c r="AW12" s="24">
        <v>2120</v>
      </c>
      <c r="AX12" s="199">
        <v>0</v>
      </c>
      <c r="AZ12" s="23" t="b">
        <v>0</v>
      </c>
      <c r="BA12" s="24" t="s">
        <v>1497</v>
      </c>
      <c r="BB12" s="349" t="s">
        <v>1505</v>
      </c>
      <c r="BC12" s="349" t="s">
        <v>1089</v>
      </c>
      <c r="BD12" s="350">
        <v>4.9795999999999998E-3</v>
      </c>
      <c r="BE12" s="349" t="s">
        <v>1075</v>
      </c>
      <c r="BF12" s="18" t="s">
        <v>264</v>
      </c>
      <c r="BG12" s="18" t="s">
        <v>264</v>
      </c>
      <c r="BH12" s="18" t="s">
        <v>264</v>
      </c>
      <c r="BI12" s="18" t="s">
        <v>264</v>
      </c>
      <c r="BJ12" s="18" t="s">
        <v>264</v>
      </c>
      <c r="BK12" s="57" t="s">
        <v>1506</v>
      </c>
      <c r="BL12" s="18" t="s">
        <v>1459</v>
      </c>
      <c r="BM12" s="105" t="s">
        <v>1507</v>
      </c>
      <c r="BO12" s="140" t="s">
        <v>1508</v>
      </c>
    </row>
    <row r="13" spans="1:79" ht="93.6">
      <c r="A13" s="204" t="b">
        <v>1</v>
      </c>
      <c r="B13" s="150" t="s">
        <v>1469</v>
      </c>
      <c r="C13" s="150"/>
      <c r="D13" s="204" t="b">
        <v>0</v>
      </c>
      <c r="E13" s="204" t="b">
        <v>0</v>
      </c>
      <c r="F13" s="206" t="s">
        <v>1509</v>
      </c>
      <c r="G13" s="159" t="s">
        <v>1510</v>
      </c>
      <c r="H13" s="206"/>
      <c r="I13" s="159" t="s">
        <v>227</v>
      </c>
      <c r="J13" s="207" t="s">
        <v>1511</v>
      </c>
      <c r="K13" s="147" t="s">
        <v>270</v>
      </c>
      <c r="L13" s="150"/>
      <c r="M13" s="150"/>
      <c r="N13" s="150"/>
      <c r="O13" s="150" t="s">
        <v>304</v>
      </c>
      <c r="P13" s="150"/>
      <c r="Q13" s="150">
        <v>2040</v>
      </c>
      <c r="R13" s="150" t="s">
        <v>456</v>
      </c>
      <c r="S13" s="150" t="s">
        <v>475</v>
      </c>
      <c r="T13" s="150"/>
      <c r="U13" s="208"/>
      <c r="V13" s="150" t="str">
        <f t="shared" si="0"/>
        <v/>
      </c>
      <c r="W13" s="150"/>
      <c r="X13" s="204" t="b">
        <v>0</v>
      </c>
      <c r="Y13" s="150"/>
      <c r="Z13" s="150"/>
      <c r="AA13" s="150" t="s">
        <v>1503</v>
      </c>
      <c r="AB13" s="159" t="s">
        <v>352</v>
      </c>
      <c r="AC13" s="209"/>
      <c r="AD13" s="150"/>
      <c r="AE13" s="209" t="s">
        <v>2362</v>
      </c>
      <c r="AF13" s="150" t="s">
        <v>1485</v>
      </c>
      <c r="AG13" s="150" t="s">
        <v>384</v>
      </c>
      <c r="AH13" s="150" t="s">
        <v>384</v>
      </c>
      <c r="AI13" s="150" t="s">
        <v>384</v>
      </c>
      <c r="AJ13" s="209">
        <v>0.39500000000000002</v>
      </c>
      <c r="AK13" s="209">
        <v>0.39500000000000002</v>
      </c>
      <c r="AL13" s="150" t="s">
        <v>1451</v>
      </c>
      <c r="AM13" s="209"/>
      <c r="AN13" s="159"/>
      <c r="AO13" s="220" t="s">
        <v>264</v>
      </c>
      <c r="AP13" s="150">
        <v>0</v>
      </c>
      <c r="AQ13" s="150">
        <v>0</v>
      </c>
      <c r="AR13" s="150">
        <v>25</v>
      </c>
      <c r="AS13" s="150">
        <v>0</v>
      </c>
      <c r="AT13" s="225">
        <v>8800</v>
      </c>
      <c r="AU13" s="150">
        <v>0</v>
      </c>
      <c r="AV13" s="214">
        <f>+AW13/AT13%</f>
        <v>12.045454545454545</v>
      </c>
      <c r="AW13" s="150">
        <v>1060</v>
      </c>
      <c r="AX13" s="226">
        <v>0</v>
      </c>
      <c r="AY13" s="159"/>
      <c r="AZ13" s="204" t="b">
        <v>0</v>
      </c>
      <c r="BA13" s="150" t="s">
        <v>1497</v>
      </c>
      <c r="BB13" s="351" t="s">
        <v>1505</v>
      </c>
      <c r="BC13" s="351" t="s">
        <v>1089</v>
      </c>
      <c r="BD13" s="352">
        <v>3.6549E-3</v>
      </c>
      <c r="BE13" s="351" t="s">
        <v>1076</v>
      </c>
      <c r="BF13" s="159" t="s">
        <v>264</v>
      </c>
      <c r="BG13" s="159" t="s">
        <v>264</v>
      </c>
      <c r="BH13" s="159" t="s">
        <v>264</v>
      </c>
      <c r="BI13" s="159" t="s">
        <v>264</v>
      </c>
      <c r="BJ13" s="159" t="s">
        <v>264</v>
      </c>
      <c r="BK13" s="150" t="s">
        <v>1506</v>
      </c>
      <c r="BL13" s="159" t="s">
        <v>1512</v>
      </c>
      <c r="BM13" s="207" t="s">
        <v>1507</v>
      </c>
      <c r="BN13" s="159"/>
      <c r="BO13" s="137" t="s">
        <v>1508</v>
      </c>
    </row>
    <row r="14" spans="1:79" ht="93.6">
      <c r="A14" s="23" t="b">
        <v>1</v>
      </c>
      <c r="B14" s="57" t="s">
        <v>1469</v>
      </c>
      <c r="C14" s="57"/>
      <c r="D14" s="23" t="b">
        <v>0</v>
      </c>
      <c r="E14" s="23" t="b">
        <v>0</v>
      </c>
      <c r="F14" s="31" t="s">
        <v>1513</v>
      </c>
      <c r="G14" s="18" t="s">
        <v>1514</v>
      </c>
      <c r="I14" s="18" t="s">
        <v>227</v>
      </c>
      <c r="J14" s="47" t="s">
        <v>1515</v>
      </c>
      <c r="K14" t="s">
        <v>270</v>
      </c>
      <c r="L14" s="24"/>
      <c r="M14" s="24"/>
      <c r="N14" s="24"/>
      <c r="O14" s="24" t="s">
        <v>304</v>
      </c>
      <c r="P14" s="24"/>
      <c r="Q14" s="24">
        <v>2050</v>
      </c>
      <c r="R14" s="24" t="s">
        <v>456</v>
      </c>
      <c r="S14" s="24" t="s">
        <v>475</v>
      </c>
      <c r="U14" s="189">
        <v>7</v>
      </c>
      <c r="V14" s="24" t="str">
        <f t="shared" si="0"/>
        <v>Emerging</v>
      </c>
      <c r="X14" s="23" t="b">
        <v>0</v>
      </c>
      <c r="AA14" s="24" t="s">
        <v>1503</v>
      </c>
      <c r="AB14" s="18" t="s">
        <v>352</v>
      </c>
      <c r="AE14" s="184" t="s">
        <v>2361</v>
      </c>
      <c r="AF14" s="24" t="s">
        <v>1485</v>
      </c>
      <c r="AG14" s="24" t="s">
        <v>384</v>
      </c>
      <c r="AH14" s="24" t="s">
        <v>384</v>
      </c>
      <c r="AI14" s="24" t="s">
        <v>384</v>
      </c>
      <c r="AJ14" s="184">
        <v>0.67</v>
      </c>
      <c r="AK14" s="184">
        <v>0.67</v>
      </c>
      <c r="AL14" s="24" t="s">
        <v>1451</v>
      </c>
      <c r="AO14" s="165" t="s">
        <v>264</v>
      </c>
      <c r="AP14" s="24">
        <v>0</v>
      </c>
      <c r="AQ14" s="24">
        <v>0</v>
      </c>
      <c r="AR14" s="24">
        <v>25</v>
      </c>
      <c r="AS14" s="24">
        <v>0</v>
      </c>
      <c r="AT14" s="228">
        <v>6600</v>
      </c>
      <c r="AU14" s="24">
        <v>0</v>
      </c>
      <c r="AV14" s="136">
        <f>AW14/AT14</f>
        <v>0.12045454545454545</v>
      </c>
      <c r="AW14" s="24">
        <v>795</v>
      </c>
      <c r="AX14" s="199">
        <v>0</v>
      </c>
      <c r="AZ14" s="23" t="b">
        <v>0</v>
      </c>
      <c r="BA14" s="24" t="s">
        <v>1497</v>
      </c>
      <c r="BB14" s="349" t="s">
        <v>1505</v>
      </c>
      <c r="BC14" s="349" t="s">
        <v>1089</v>
      </c>
      <c r="BD14" s="350">
        <v>2.6083999999999999E-3</v>
      </c>
      <c r="BE14" s="349" t="s">
        <v>1077</v>
      </c>
      <c r="BF14" s="18" t="s">
        <v>264</v>
      </c>
      <c r="BG14" s="18" t="s">
        <v>264</v>
      </c>
      <c r="BH14" s="18" t="s">
        <v>264</v>
      </c>
      <c r="BI14" s="18" t="s">
        <v>264</v>
      </c>
      <c r="BJ14" s="18" t="s">
        <v>264</v>
      </c>
      <c r="BK14" s="57" t="s">
        <v>1506</v>
      </c>
      <c r="BL14" s="18" t="s">
        <v>1459</v>
      </c>
      <c r="BM14" s="105" t="s">
        <v>1507</v>
      </c>
      <c r="BO14" s="140" t="s">
        <v>1508</v>
      </c>
    </row>
    <row r="15" spans="1:79" s="159" customFormat="1" ht="62.4">
      <c r="A15" s="23" t="b">
        <v>0</v>
      </c>
      <c r="B15" s="57" t="s">
        <v>1442</v>
      </c>
      <c r="C15" s="57" t="s">
        <v>1443</v>
      </c>
      <c r="D15" s="23" t="b">
        <v>0</v>
      </c>
      <c r="E15" s="23" t="b">
        <v>0</v>
      </c>
      <c r="F15" s="31" t="s">
        <v>1516</v>
      </c>
      <c r="G15" s="18" t="s">
        <v>1517</v>
      </c>
      <c r="H15" s="31"/>
      <c r="I15" s="18" t="s">
        <v>227</v>
      </c>
      <c r="J15" s="47" t="s">
        <v>668</v>
      </c>
      <c r="K15" t="s">
        <v>1518</v>
      </c>
      <c r="L15" s="24" t="s">
        <v>227</v>
      </c>
      <c r="M15" s="24" t="s">
        <v>282</v>
      </c>
      <c r="N15" s="24" t="s">
        <v>293</v>
      </c>
      <c r="O15" s="24" t="s">
        <v>304</v>
      </c>
      <c r="P15" s="24">
        <v>20</v>
      </c>
      <c r="Q15" s="24">
        <v>2030</v>
      </c>
      <c r="R15" s="24" t="s">
        <v>456</v>
      </c>
      <c r="S15" s="24" t="s">
        <v>475</v>
      </c>
      <c r="T15" s="24">
        <v>2025</v>
      </c>
      <c r="U15" s="189">
        <v>8</v>
      </c>
      <c r="V15" s="24" t="str">
        <f t="shared" si="0"/>
        <v>Emerging</v>
      </c>
      <c r="W15" s="24" t="s">
        <v>1447</v>
      </c>
      <c r="X15" s="23" t="b">
        <v>0</v>
      </c>
      <c r="Y15" s="24"/>
      <c r="Z15" s="24"/>
      <c r="AA15" s="24" t="s">
        <v>1448</v>
      </c>
      <c r="AB15" s="24" t="s">
        <v>392</v>
      </c>
      <c r="AC15" s="184"/>
      <c r="AD15" s="24"/>
      <c r="AE15" s="184" t="s">
        <v>1519</v>
      </c>
      <c r="AF15" s="24" t="s">
        <v>1450</v>
      </c>
      <c r="AG15" s="24" t="s">
        <v>384</v>
      </c>
      <c r="AH15" s="24" t="s">
        <v>384</v>
      </c>
      <c r="AI15" s="24" t="s">
        <v>384</v>
      </c>
      <c r="AJ15" s="184">
        <v>0.95</v>
      </c>
      <c r="AK15" s="184">
        <v>0.95</v>
      </c>
      <c r="AL15" s="24" t="s">
        <v>1451</v>
      </c>
      <c r="AM15" s="184"/>
      <c r="AN15" s="18"/>
      <c r="AO15" s="165" t="s">
        <v>264</v>
      </c>
      <c r="AP15" s="24"/>
      <c r="AQ15" s="24" t="s">
        <v>1452</v>
      </c>
      <c r="AR15" s="24">
        <v>25</v>
      </c>
      <c r="AS15" s="24">
        <v>0</v>
      </c>
      <c r="AT15" s="27" t="s">
        <v>1520</v>
      </c>
      <c r="AU15" s="24">
        <v>0</v>
      </c>
      <c r="AV15" s="200">
        <f>139/2500*100</f>
        <v>5.56</v>
      </c>
      <c r="AW15" s="27" t="s">
        <v>1521</v>
      </c>
      <c r="AX15" s="27" t="s">
        <v>1522</v>
      </c>
      <c r="AY15" s="18"/>
      <c r="AZ15" s="23" t="b">
        <v>0</v>
      </c>
      <c r="BA15" s="24" t="s">
        <v>1497</v>
      </c>
      <c r="BB15" s="349" t="s">
        <v>1523</v>
      </c>
      <c r="BC15" s="349" t="s">
        <v>1089</v>
      </c>
      <c r="BD15" s="350">
        <v>1.1127000000000001E-3</v>
      </c>
      <c r="BE15" s="349" t="s">
        <v>1075</v>
      </c>
      <c r="BF15" s="18" t="s">
        <v>264</v>
      </c>
      <c r="BG15" s="18" t="s">
        <v>264</v>
      </c>
      <c r="BH15" s="18" t="s">
        <v>264</v>
      </c>
      <c r="BI15" s="18" t="s">
        <v>264</v>
      </c>
      <c r="BJ15" s="18" t="s">
        <v>264</v>
      </c>
      <c r="BK15" s="18" t="s">
        <v>1458</v>
      </c>
      <c r="BL15" s="18" t="s">
        <v>1459</v>
      </c>
      <c r="BM15" s="95"/>
      <c r="BN15" s="18"/>
      <c r="BO15" s="137" t="s">
        <v>1464</v>
      </c>
    </row>
    <row r="16" spans="1:79" s="159" customFormat="1" ht="62.4">
      <c r="A16" s="23" t="b">
        <v>1</v>
      </c>
      <c r="B16" s="57" t="s">
        <v>1442</v>
      </c>
      <c r="C16" s="57" t="s">
        <v>1443</v>
      </c>
      <c r="D16" s="23" t="b">
        <v>0</v>
      </c>
      <c r="E16" s="23" t="b">
        <v>0</v>
      </c>
      <c r="F16" s="31" t="s">
        <v>1524</v>
      </c>
      <c r="G16" s="18" t="s">
        <v>1525</v>
      </c>
      <c r="H16" s="31"/>
      <c r="I16" s="18" t="s">
        <v>227</v>
      </c>
      <c r="J16" s="47" t="s">
        <v>668</v>
      </c>
      <c r="K16" t="s">
        <v>1518</v>
      </c>
      <c r="L16" s="24" t="s">
        <v>227</v>
      </c>
      <c r="M16" s="24" t="s">
        <v>282</v>
      </c>
      <c r="N16" s="24" t="s">
        <v>293</v>
      </c>
      <c r="O16" s="24" t="s">
        <v>304</v>
      </c>
      <c r="P16" s="24">
        <v>20</v>
      </c>
      <c r="Q16" s="24">
        <v>2040</v>
      </c>
      <c r="R16" s="24" t="s">
        <v>456</v>
      </c>
      <c r="S16" s="24" t="s">
        <v>475</v>
      </c>
      <c r="T16" s="24">
        <v>2025</v>
      </c>
      <c r="U16" s="189">
        <v>9</v>
      </c>
      <c r="V16" s="24" t="str">
        <f t="shared" si="0"/>
        <v>Mature</v>
      </c>
      <c r="W16" s="24" t="s">
        <v>1447</v>
      </c>
      <c r="X16" s="23" t="b">
        <v>0</v>
      </c>
      <c r="Y16" s="24"/>
      <c r="Z16" s="24"/>
      <c r="AA16" s="24" t="s">
        <v>1448</v>
      </c>
      <c r="AB16" s="24" t="s">
        <v>392</v>
      </c>
      <c r="AC16" s="184"/>
      <c r="AD16" s="24"/>
      <c r="AE16" s="184" t="s">
        <v>1519</v>
      </c>
      <c r="AF16" s="24" t="s">
        <v>1450</v>
      </c>
      <c r="AG16" s="24" t="s">
        <v>384</v>
      </c>
      <c r="AH16" s="24" t="s">
        <v>384</v>
      </c>
      <c r="AI16" s="24" t="s">
        <v>384</v>
      </c>
      <c r="AJ16" s="184">
        <v>0.95</v>
      </c>
      <c r="AK16" s="184">
        <v>0.95</v>
      </c>
      <c r="AL16" s="24" t="s">
        <v>1451</v>
      </c>
      <c r="AM16" s="184"/>
      <c r="AN16" s="18"/>
      <c r="AO16" s="165" t="s">
        <v>264</v>
      </c>
      <c r="AP16" s="24"/>
      <c r="AQ16" s="24" t="s">
        <v>1452</v>
      </c>
      <c r="AR16" s="24">
        <v>25</v>
      </c>
      <c r="AS16" s="24">
        <v>0</v>
      </c>
      <c r="AT16" s="27" t="s">
        <v>1520</v>
      </c>
      <c r="AU16" s="24">
        <v>0</v>
      </c>
      <c r="AV16" s="200">
        <f>139/2500*100</f>
        <v>5.56</v>
      </c>
      <c r="AW16" s="27" t="s">
        <v>1521</v>
      </c>
      <c r="AX16" s="27" t="s">
        <v>1522</v>
      </c>
      <c r="AY16" s="18"/>
      <c r="AZ16" s="23" t="b">
        <v>0</v>
      </c>
      <c r="BA16" s="24" t="s">
        <v>1497</v>
      </c>
      <c r="BB16" s="349" t="s">
        <v>1523</v>
      </c>
      <c r="BC16" s="349" t="s">
        <v>1089</v>
      </c>
      <c r="BD16" s="350">
        <v>4.9039999999999999E-4</v>
      </c>
      <c r="BE16" s="349" t="s">
        <v>1076</v>
      </c>
      <c r="BF16" s="18" t="s">
        <v>264</v>
      </c>
      <c r="BG16" s="18" t="s">
        <v>264</v>
      </c>
      <c r="BH16" s="18" t="s">
        <v>264</v>
      </c>
      <c r="BI16" s="18" t="s">
        <v>264</v>
      </c>
      <c r="BJ16" s="18" t="s">
        <v>264</v>
      </c>
      <c r="BK16" s="18" t="s">
        <v>1458</v>
      </c>
      <c r="BL16" s="18" t="s">
        <v>1459</v>
      </c>
      <c r="BM16" s="95"/>
      <c r="BN16" s="18"/>
      <c r="BO16" s="137" t="s">
        <v>1464</v>
      </c>
    </row>
    <row r="17" spans="1:80" ht="62.4">
      <c r="A17" s="23" t="b">
        <v>0</v>
      </c>
      <c r="B17" s="107" t="s">
        <v>1442</v>
      </c>
      <c r="C17" s="57" t="s">
        <v>1443</v>
      </c>
      <c r="D17" s="23" t="b">
        <v>0</v>
      </c>
      <c r="E17" s="23" t="b">
        <v>0</v>
      </c>
      <c r="F17" s="31" t="s">
        <v>1526</v>
      </c>
      <c r="G17" s="18" t="s">
        <v>1527</v>
      </c>
      <c r="I17" s="18" t="s">
        <v>227</v>
      </c>
      <c r="J17" s="47" t="s">
        <v>1528</v>
      </c>
      <c r="K17" t="s">
        <v>1518</v>
      </c>
      <c r="L17" s="24" t="s">
        <v>227</v>
      </c>
      <c r="M17" s="24" t="s">
        <v>282</v>
      </c>
      <c r="N17" s="24" t="s">
        <v>293</v>
      </c>
      <c r="O17" s="24" t="s">
        <v>304</v>
      </c>
      <c r="P17" s="24">
        <v>20</v>
      </c>
      <c r="Q17" s="24">
        <v>2050</v>
      </c>
      <c r="R17" s="24" t="s">
        <v>456</v>
      </c>
      <c r="S17" s="24" t="s">
        <v>475</v>
      </c>
      <c r="T17" s="24">
        <v>2025</v>
      </c>
      <c r="U17" s="189">
        <v>9</v>
      </c>
      <c r="V17" s="24" t="str">
        <f t="shared" si="0"/>
        <v>Mature</v>
      </c>
      <c r="W17" s="24" t="s">
        <v>1447</v>
      </c>
      <c r="X17" s="23" t="b">
        <v>0</v>
      </c>
      <c r="AA17" s="24" t="s">
        <v>1529</v>
      </c>
      <c r="AB17" s="24" t="s">
        <v>386</v>
      </c>
      <c r="AE17" s="184" t="s">
        <v>1519</v>
      </c>
      <c r="AF17" s="24" t="s">
        <v>1450</v>
      </c>
      <c r="AG17" s="24" t="s">
        <v>384</v>
      </c>
      <c r="AH17" s="24" t="s">
        <v>384</v>
      </c>
      <c r="AI17" s="24" t="s">
        <v>384</v>
      </c>
      <c r="AJ17" s="184">
        <v>0.95</v>
      </c>
      <c r="AK17" s="184">
        <v>0.95</v>
      </c>
      <c r="AL17" s="24" t="s">
        <v>1451</v>
      </c>
      <c r="AO17" s="165" t="s">
        <v>264</v>
      </c>
      <c r="AP17" s="24"/>
      <c r="AQ17" s="24" t="s">
        <v>1452</v>
      </c>
      <c r="AR17" s="24">
        <v>25</v>
      </c>
      <c r="AS17" s="24">
        <v>0</v>
      </c>
      <c r="AT17" s="27" t="s">
        <v>1520</v>
      </c>
      <c r="AU17" s="24">
        <v>0</v>
      </c>
      <c r="AV17" s="200">
        <f>139/2500*100</f>
        <v>5.56</v>
      </c>
      <c r="AW17" s="27" t="s">
        <v>1521</v>
      </c>
      <c r="AX17" s="27" t="s">
        <v>1522</v>
      </c>
      <c r="AZ17" s="23" t="b">
        <v>0</v>
      </c>
      <c r="BA17" s="24" t="s">
        <v>1497</v>
      </c>
      <c r="BB17" s="349" t="s">
        <v>1523</v>
      </c>
      <c r="BC17" s="349" t="s">
        <v>1089</v>
      </c>
      <c r="BD17" s="350">
        <v>2.767E-4</v>
      </c>
      <c r="BE17" s="349" t="s">
        <v>1077</v>
      </c>
      <c r="BF17" s="18" t="s">
        <v>264</v>
      </c>
      <c r="BG17" s="18" t="s">
        <v>264</v>
      </c>
      <c r="BH17" s="18" t="s">
        <v>264</v>
      </c>
      <c r="BI17" s="18" t="s">
        <v>264</v>
      </c>
      <c r="BJ17" s="18" t="s">
        <v>264</v>
      </c>
      <c r="BK17" s="18" t="s">
        <v>1458</v>
      </c>
      <c r="BL17" s="18" t="s">
        <v>1459</v>
      </c>
      <c r="BM17" s="112" t="s">
        <v>1468</v>
      </c>
      <c r="BO17" s="137" t="s">
        <v>1464</v>
      </c>
    </row>
    <row r="18" spans="1:80" ht="31.2">
      <c r="A18" s="23" t="b">
        <v>0</v>
      </c>
      <c r="B18" s="57" t="s">
        <v>1336</v>
      </c>
      <c r="C18" s="57"/>
      <c r="D18" s="23" t="b">
        <v>0</v>
      </c>
      <c r="E18" s="23" t="b">
        <v>0</v>
      </c>
      <c r="F18" s="31" t="s">
        <v>1530</v>
      </c>
      <c r="G18" s="18" t="s">
        <v>1531</v>
      </c>
      <c r="I18" s="18" t="s">
        <v>236</v>
      </c>
      <c r="J18" s="47" t="s">
        <v>1532</v>
      </c>
      <c r="K18" t="s">
        <v>787</v>
      </c>
      <c r="M18" s="24"/>
      <c r="N18" s="24"/>
      <c r="O18" s="24" t="s">
        <v>304</v>
      </c>
      <c r="P18" s="24"/>
      <c r="Q18" s="24">
        <v>2030</v>
      </c>
      <c r="R18" s="24" t="s">
        <v>456</v>
      </c>
      <c r="S18" s="24" t="s">
        <v>475</v>
      </c>
      <c r="U18" s="189">
        <v>9</v>
      </c>
      <c r="V18" s="24" t="str">
        <f t="shared" si="0"/>
        <v>Mature</v>
      </c>
      <c r="X18" s="23" t="b">
        <v>0</v>
      </c>
      <c r="Y18" s="24">
        <v>0.64</v>
      </c>
      <c r="AA18" s="24" t="s">
        <v>555</v>
      </c>
      <c r="AB18" s="18" t="s">
        <v>264</v>
      </c>
      <c r="AE18" s="184">
        <v>1</v>
      </c>
      <c r="AF18" s="18" t="s">
        <v>1351</v>
      </c>
      <c r="AG18" s="24" t="s">
        <v>346</v>
      </c>
      <c r="AH18" s="24" t="s">
        <v>346</v>
      </c>
      <c r="AI18" s="24" t="s">
        <v>346</v>
      </c>
      <c r="AJ18" s="184">
        <v>0.61</v>
      </c>
      <c r="AK18" s="184">
        <v>0.61</v>
      </c>
      <c r="AL18" s="18" t="s">
        <v>1351</v>
      </c>
      <c r="AO18" s="194" t="s">
        <v>264</v>
      </c>
      <c r="AP18" s="24">
        <v>1500</v>
      </c>
      <c r="AQ18" s="24">
        <v>400000</v>
      </c>
      <c r="AR18" s="24">
        <v>23</v>
      </c>
      <c r="AS18" s="24">
        <v>0</v>
      </c>
      <c r="AT18" s="166">
        <v>890</v>
      </c>
      <c r="AU18" s="24">
        <v>0</v>
      </c>
      <c r="AV18" s="111">
        <f t="shared" ref="AV18:AV33" si="1">+AW18/AT18%</f>
        <v>2.3595505617977528</v>
      </c>
      <c r="AW18" s="24">
        <v>21</v>
      </c>
      <c r="AX18" s="177">
        <v>2E-3</v>
      </c>
      <c r="AZ18" s="23" t="b">
        <v>0</v>
      </c>
      <c r="BA18" s="24" t="s">
        <v>1533</v>
      </c>
      <c r="BB18" s="349" t="s">
        <v>1472</v>
      </c>
      <c r="BC18" s="349" t="s">
        <v>1081</v>
      </c>
      <c r="BD18" s="350">
        <v>72.892403200000004</v>
      </c>
      <c r="BE18" s="349" t="s">
        <v>1077</v>
      </c>
      <c r="BF18" s="143" t="s">
        <v>264</v>
      </c>
      <c r="BG18" s="143" t="s">
        <v>264</v>
      </c>
      <c r="BH18" s="143">
        <v>0.06</v>
      </c>
      <c r="BI18" s="143">
        <v>0</v>
      </c>
      <c r="BJ18" s="143" t="s">
        <v>1474</v>
      </c>
      <c r="BK18" s="18" t="s">
        <v>1534</v>
      </c>
      <c r="BL18" s="18" t="s">
        <v>1459</v>
      </c>
      <c r="BM18" s="114"/>
      <c r="BO18" s="116" t="s">
        <v>1535</v>
      </c>
    </row>
    <row r="19" spans="1:80" ht="31.2">
      <c r="A19" s="204" t="b">
        <v>0</v>
      </c>
      <c r="B19" s="150" t="s">
        <v>1536</v>
      </c>
      <c r="C19" s="150" t="s">
        <v>1442</v>
      </c>
      <c r="D19" s="204" t="b">
        <v>1</v>
      </c>
      <c r="E19" s="204" t="b">
        <v>0</v>
      </c>
      <c r="F19" s="205" t="s">
        <v>1537</v>
      </c>
      <c r="G19" s="159" t="s">
        <v>1538</v>
      </c>
      <c r="H19" s="206"/>
      <c r="I19" s="159" t="s">
        <v>236</v>
      </c>
      <c r="J19" s="207" t="s">
        <v>560</v>
      </c>
      <c r="K19" s="147" t="s">
        <v>1539</v>
      </c>
      <c r="L19" s="159"/>
      <c r="M19" s="150"/>
      <c r="N19" s="150"/>
      <c r="O19" s="150"/>
      <c r="P19" s="150"/>
      <c r="Q19" s="150">
        <v>2050</v>
      </c>
      <c r="R19" s="150"/>
      <c r="S19" s="150" t="s">
        <v>475</v>
      </c>
      <c r="T19" s="150"/>
      <c r="U19" s="208"/>
      <c r="V19" s="150" t="str">
        <f t="shared" si="0"/>
        <v/>
      </c>
      <c r="W19" s="150"/>
      <c r="X19" s="204" t="b">
        <v>0</v>
      </c>
      <c r="Y19" s="150">
        <v>0.52</v>
      </c>
      <c r="Z19" s="150"/>
      <c r="AA19" s="150" t="s">
        <v>555</v>
      </c>
      <c r="AB19" s="159" t="s">
        <v>264</v>
      </c>
      <c r="AC19" s="209"/>
      <c r="AD19" s="150"/>
      <c r="AE19" s="209">
        <v>1</v>
      </c>
      <c r="AF19" s="159" t="s">
        <v>1351</v>
      </c>
      <c r="AG19" s="210" t="s">
        <v>1540</v>
      </c>
      <c r="AH19" s="210" t="s">
        <v>1540</v>
      </c>
      <c r="AI19" s="210" t="s">
        <v>346</v>
      </c>
      <c r="AJ19" s="209" t="s">
        <v>1541</v>
      </c>
      <c r="AK19" s="209" t="s">
        <v>1541</v>
      </c>
      <c r="AL19" s="159" t="s">
        <v>1482</v>
      </c>
      <c r="AM19" s="209"/>
      <c r="AN19" s="159"/>
      <c r="AO19" s="211" t="s">
        <v>264</v>
      </c>
      <c r="AP19" s="210">
        <v>1500</v>
      </c>
      <c r="AQ19" s="210">
        <v>400000</v>
      </c>
      <c r="AR19" s="212">
        <v>23</v>
      </c>
      <c r="AS19" s="150"/>
      <c r="AT19" s="213">
        <v>1183</v>
      </c>
      <c r="AU19" s="150"/>
      <c r="AV19" s="214">
        <f t="shared" si="1"/>
        <v>2.2823330515638207</v>
      </c>
      <c r="AW19" s="150">
        <v>27</v>
      </c>
      <c r="AX19" s="215">
        <v>3.0000000000000001E-3</v>
      </c>
      <c r="AY19" s="159"/>
      <c r="AZ19" s="204" t="b">
        <v>0</v>
      </c>
      <c r="BA19" s="150" t="s">
        <v>1533</v>
      </c>
      <c r="BB19" s="351" t="s">
        <v>1472</v>
      </c>
      <c r="BC19" s="351" t="s">
        <v>1081</v>
      </c>
      <c r="BD19" s="352">
        <v>72.892403200000004</v>
      </c>
      <c r="BE19" s="351" t="s">
        <v>1077</v>
      </c>
      <c r="BF19" s="216" t="s">
        <v>264</v>
      </c>
      <c r="BG19" s="216" t="s">
        <v>264</v>
      </c>
      <c r="BH19" s="216">
        <v>0.06</v>
      </c>
      <c r="BI19" s="216">
        <v>0</v>
      </c>
      <c r="BJ19" s="216" t="s">
        <v>1474</v>
      </c>
      <c r="BK19" s="159" t="s">
        <v>1542</v>
      </c>
      <c r="BL19" s="159" t="s">
        <v>1512</v>
      </c>
      <c r="BM19" s="159"/>
      <c r="BN19" s="159"/>
      <c r="BO19" s="207" t="s">
        <v>1535</v>
      </c>
    </row>
    <row r="20" spans="1:80" ht="48.6" customHeight="1">
      <c r="A20" s="23" t="b">
        <v>0</v>
      </c>
      <c r="B20" s="57" t="s">
        <v>1336</v>
      </c>
      <c r="C20" s="57"/>
      <c r="D20" s="23" t="b">
        <v>0</v>
      </c>
      <c r="E20" s="23" t="b">
        <v>0</v>
      </c>
      <c r="F20" s="31" t="s">
        <v>1543</v>
      </c>
      <c r="G20" s="18" t="s">
        <v>1544</v>
      </c>
      <c r="I20" s="18" t="s">
        <v>238</v>
      </c>
      <c r="J20" s="47" t="s">
        <v>554</v>
      </c>
      <c r="K20" t="s">
        <v>1545</v>
      </c>
      <c r="M20" s="24"/>
      <c r="N20" s="24"/>
      <c r="O20" s="24" t="s">
        <v>304</v>
      </c>
      <c r="P20" s="24"/>
      <c r="Q20" s="24">
        <v>2050</v>
      </c>
      <c r="R20" s="24" t="s">
        <v>456</v>
      </c>
      <c r="S20" s="24" t="s">
        <v>475</v>
      </c>
      <c r="U20" s="189">
        <v>9</v>
      </c>
      <c r="V20" s="24" t="str">
        <f t="shared" si="0"/>
        <v>Mature</v>
      </c>
      <c r="X20" s="23" t="b">
        <v>0</v>
      </c>
      <c r="Y20" s="24">
        <v>0.3</v>
      </c>
      <c r="AA20" s="24" t="s">
        <v>555</v>
      </c>
      <c r="AB20" s="18" t="s">
        <v>264</v>
      </c>
      <c r="AE20" s="184">
        <v>1</v>
      </c>
      <c r="AF20" s="18" t="s">
        <v>1351</v>
      </c>
      <c r="AG20" s="24" t="s">
        <v>1546</v>
      </c>
      <c r="AH20" s="24" t="s">
        <v>1546</v>
      </c>
      <c r="AI20" s="18" t="s">
        <v>352</v>
      </c>
      <c r="AJ20" s="184" t="s">
        <v>1547</v>
      </c>
      <c r="AK20" s="184" t="s">
        <v>1547</v>
      </c>
      <c r="AL20" s="18" t="s">
        <v>1485</v>
      </c>
      <c r="AO20" s="194" t="s">
        <v>264</v>
      </c>
      <c r="AP20" s="24">
        <v>0</v>
      </c>
      <c r="AQ20" s="24">
        <v>1000</v>
      </c>
      <c r="AR20" s="24">
        <v>15</v>
      </c>
      <c r="AS20" s="24">
        <v>0</v>
      </c>
      <c r="AT20" s="166">
        <v>1000</v>
      </c>
      <c r="AU20" s="24">
        <v>0</v>
      </c>
      <c r="AV20" s="111">
        <f t="shared" si="1"/>
        <v>1.2</v>
      </c>
      <c r="AW20" s="24">
        <v>12</v>
      </c>
      <c r="AX20" s="177">
        <v>4.0000000000000001E-3</v>
      </c>
      <c r="AZ20" s="23" t="b">
        <v>0</v>
      </c>
      <c r="BA20" s="24" t="s">
        <v>1533</v>
      </c>
      <c r="BB20" s="349" t="s">
        <v>1548</v>
      </c>
      <c r="BC20" s="349" t="s">
        <v>1081</v>
      </c>
      <c r="BD20" s="350">
        <v>109.8048531</v>
      </c>
      <c r="BE20" s="349" t="s">
        <v>1077</v>
      </c>
      <c r="BF20" s="143" t="s">
        <v>264</v>
      </c>
      <c r="BG20" s="143" t="s">
        <v>264</v>
      </c>
      <c r="BH20" s="143">
        <v>0.06</v>
      </c>
      <c r="BI20" s="143">
        <v>0</v>
      </c>
      <c r="BJ20" s="143" t="s">
        <v>1474</v>
      </c>
      <c r="BK20" s="18" t="s">
        <v>1542</v>
      </c>
      <c r="BL20" s="18" t="s">
        <v>1459</v>
      </c>
      <c r="BM20" s="114" t="s">
        <v>1549</v>
      </c>
      <c r="BO20" s="116" t="s">
        <v>1535</v>
      </c>
    </row>
    <row r="21" spans="1:80" s="159" customFormat="1">
      <c r="A21" s="23" t="b">
        <v>0</v>
      </c>
      <c r="B21" s="57" t="s">
        <v>1536</v>
      </c>
      <c r="C21" s="57"/>
      <c r="D21" s="23" t="b">
        <v>0</v>
      </c>
      <c r="E21" s="23" t="b">
        <v>0</v>
      </c>
      <c r="F21" s="25" t="s">
        <v>1550</v>
      </c>
      <c r="G21" s="18" t="s">
        <v>1551</v>
      </c>
      <c r="H21" s="31"/>
      <c r="I21" s="18" t="s">
        <v>229</v>
      </c>
      <c r="J21" s="47" t="s">
        <v>897</v>
      </c>
      <c r="K21" s="47" t="s">
        <v>1552</v>
      </c>
      <c r="L21" s="24" t="s">
        <v>262</v>
      </c>
      <c r="M21" s="24" t="s">
        <v>229</v>
      </c>
      <c r="N21" s="24" t="s">
        <v>285</v>
      </c>
      <c r="O21" s="24" t="s">
        <v>304</v>
      </c>
      <c r="P21" s="24"/>
      <c r="Q21" s="24">
        <v>2030</v>
      </c>
      <c r="R21" s="24" t="s">
        <v>456</v>
      </c>
      <c r="S21" s="24" t="s">
        <v>475</v>
      </c>
      <c r="T21" s="24">
        <v>2021</v>
      </c>
      <c r="U21" s="189">
        <v>9</v>
      </c>
      <c r="V21" s="24" t="str">
        <f t="shared" si="0"/>
        <v>Mature</v>
      </c>
      <c r="W21" s="24" t="s">
        <v>1447</v>
      </c>
      <c r="X21" s="23" t="b">
        <v>0</v>
      </c>
      <c r="Y21" s="233">
        <v>0.45800000000000002</v>
      </c>
      <c r="Z21" s="24"/>
      <c r="AA21" s="24" t="s">
        <v>1553</v>
      </c>
      <c r="AB21" s="25" t="s">
        <v>339</v>
      </c>
      <c r="AC21" s="184"/>
      <c r="AD21" s="24"/>
      <c r="AE21" s="184" t="s">
        <v>1554</v>
      </c>
      <c r="AF21" s="24" t="s">
        <v>1485</v>
      </c>
      <c r="AG21" s="24" t="s">
        <v>364</v>
      </c>
      <c r="AH21" s="24" t="s">
        <v>364</v>
      </c>
      <c r="AI21" s="24" t="s">
        <v>364</v>
      </c>
      <c r="AJ21" s="186">
        <f t="shared" ref="AJ21:AK23" si="2">AVERAGE(0.66,0.64,0.68,0.55)</f>
        <v>0.63250000000000006</v>
      </c>
      <c r="AK21" s="186">
        <f t="shared" si="2"/>
        <v>0.63250000000000006</v>
      </c>
      <c r="AL21" s="24" t="s">
        <v>1351</v>
      </c>
      <c r="AM21" s="184"/>
      <c r="AN21" s="18"/>
      <c r="AO21" s="165" t="s">
        <v>1555</v>
      </c>
      <c r="AP21" s="24">
        <v>0</v>
      </c>
      <c r="AQ21" s="24">
        <v>0</v>
      </c>
      <c r="AR21" s="24">
        <v>20</v>
      </c>
      <c r="AS21" s="24">
        <v>0</v>
      </c>
      <c r="AT21" s="24">
        <v>1130</v>
      </c>
      <c r="AU21" s="24">
        <v>0</v>
      </c>
      <c r="AV21" s="111">
        <f t="shared" si="1"/>
        <v>9.1150442477876101</v>
      </c>
      <c r="AW21" s="111">
        <v>103</v>
      </c>
      <c r="AX21" s="178">
        <v>3.6719999999999999E-3</v>
      </c>
      <c r="AY21" s="18"/>
      <c r="AZ21" s="23" t="b">
        <v>0</v>
      </c>
      <c r="BA21" s="24"/>
      <c r="BB21" s="349" t="s">
        <v>1556</v>
      </c>
      <c r="BC21" s="349" t="s">
        <v>1081</v>
      </c>
      <c r="BD21" s="350">
        <v>3.3280000000000001E-4</v>
      </c>
      <c r="BE21" s="349" t="s">
        <v>1075</v>
      </c>
      <c r="BF21" s="18" t="str">
        <f>IF(AE21="na","na","needs value")</f>
        <v>needs value</v>
      </c>
      <c r="BG21" s="18" t="str">
        <f>IF(AJ21="na","na","needs value")</f>
        <v>needs value</v>
      </c>
      <c r="BH21" s="143" t="s">
        <v>264</v>
      </c>
      <c r="BI21" s="143" t="s">
        <v>264</v>
      </c>
      <c r="BJ21" s="143" t="s">
        <v>264</v>
      </c>
      <c r="BK21" s="18" t="s">
        <v>1557</v>
      </c>
      <c r="BL21" s="18" t="s">
        <v>1459</v>
      </c>
      <c r="BM21" s="95" t="s">
        <v>1558</v>
      </c>
      <c r="BN21" s="18"/>
      <c r="BO21" s="116" t="s">
        <v>1535</v>
      </c>
    </row>
    <row r="22" spans="1:80" s="159" customFormat="1">
      <c r="A22" s="23" t="b">
        <v>0</v>
      </c>
      <c r="B22" s="57" t="s">
        <v>1536</v>
      </c>
      <c r="C22" s="57"/>
      <c r="D22" s="23" t="b">
        <v>0</v>
      </c>
      <c r="E22" s="23" t="b">
        <v>0</v>
      </c>
      <c r="F22" s="25" t="s">
        <v>1559</v>
      </c>
      <c r="G22" s="18" t="s">
        <v>1560</v>
      </c>
      <c r="H22" s="31"/>
      <c r="I22" s="18" t="s">
        <v>229</v>
      </c>
      <c r="J22" s="47" t="s">
        <v>897</v>
      </c>
      <c r="K22" s="47" t="s">
        <v>1552</v>
      </c>
      <c r="L22" s="24" t="s">
        <v>262</v>
      </c>
      <c r="M22" s="24" t="s">
        <v>229</v>
      </c>
      <c r="N22" s="24" t="s">
        <v>285</v>
      </c>
      <c r="O22" s="24" t="s">
        <v>304</v>
      </c>
      <c r="P22" s="24"/>
      <c r="Q22" s="24">
        <v>2040</v>
      </c>
      <c r="R22" s="24" t="s">
        <v>456</v>
      </c>
      <c r="S22" s="24" t="s">
        <v>475</v>
      </c>
      <c r="T22" s="24">
        <v>2021</v>
      </c>
      <c r="U22" s="189">
        <v>9</v>
      </c>
      <c r="V22" s="24" t="str">
        <f t="shared" si="0"/>
        <v>Mature</v>
      </c>
      <c r="W22" s="24" t="s">
        <v>1447</v>
      </c>
      <c r="X22" s="23" t="b">
        <v>0</v>
      </c>
      <c r="Y22" s="233">
        <v>0.45800000000000002</v>
      </c>
      <c r="Z22" s="24"/>
      <c r="AA22" s="24" t="s">
        <v>1553</v>
      </c>
      <c r="AB22" s="25" t="s">
        <v>339</v>
      </c>
      <c r="AC22" s="184"/>
      <c r="AD22" s="24"/>
      <c r="AE22" s="184" t="s">
        <v>1554</v>
      </c>
      <c r="AF22" s="24" t="s">
        <v>1485</v>
      </c>
      <c r="AG22" s="24" t="s">
        <v>364</v>
      </c>
      <c r="AH22" s="24" t="s">
        <v>364</v>
      </c>
      <c r="AI22" s="24" t="s">
        <v>364</v>
      </c>
      <c r="AJ22" s="186">
        <f t="shared" si="2"/>
        <v>0.63250000000000006</v>
      </c>
      <c r="AK22" s="186">
        <f t="shared" si="2"/>
        <v>0.63250000000000006</v>
      </c>
      <c r="AL22" s="24" t="s">
        <v>1351</v>
      </c>
      <c r="AM22" s="184"/>
      <c r="AN22" s="18"/>
      <c r="AO22" s="165" t="s">
        <v>1555</v>
      </c>
      <c r="AP22" s="24">
        <v>0</v>
      </c>
      <c r="AQ22" s="24">
        <v>0</v>
      </c>
      <c r="AR22" s="24">
        <v>20</v>
      </c>
      <c r="AS22" s="24">
        <v>0</v>
      </c>
      <c r="AT22" s="24">
        <v>1056</v>
      </c>
      <c r="AU22" s="24">
        <v>0</v>
      </c>
      <c r="AV22" s="111">
        <f t="shared" si="1"/>
        <v>9.0909090909090899</v>
      </c>
      <c r="AW22" s="111">
        <v>96</v>
      </c>
      <c r="AX22" s="178">
        <v>3.0599999999999998E-3</v>
      </c>
      <c r="AY22" s="18"/>
      <c r="AZ22" s="23" t="b">
        <v>0</v>
      </c>
      <c r="BA22" s="24"/>
      <c r="BB22" s="349" t="s">
        <v>1556</v>
      </c>
      <c r="BC22" s="349" t="s">
        <v>1081</v>
      </c>
      <c r="BD22" s="350">
        <v>2.654E-4</v>
      </c>
      <c r="BE22" s="349" t="s">
        <v>1076</v>
      </c>
      <c r="BF22" s="18" t="str">
        <f>IF(AE22="na","na","needs value")</f>
        <v>needs value</v>
      </c>
      <c r="BG22" s="18" t="str">
        <f>IF(AJ22="na","na","needs value")</f>
        <v>needs value</v>
      </c>
      <c r="BH22" s="143" t="s">
        <v>264</v>
      </c>
      <c r="BI22" s="143" t="s">
        <v>264</v>
      </c>
      <c r="BJ22" s="143" t="s">
        <v>264</v>
      </c>
      <c r="BK22" s="18" t="s">
        <v>1557</v>
      </c>
      <c r="BL22" s="18" t="s">
        <v>1459</v>
      </c>
      <c r="BM22" s="95" t="s">
        <v>1558</v>
      </c>
      <c r="BN22" s="18"/>
      <c r="BO22" s="116" t="s">
        <v>1535</v>
      </c>
    </row>
    <row r="23" spans="1:80">
      <c r="A23" s="23" t="b">
        <v>0</v>
      </c>
      <c r="B23" s="57" t="s">
        <v>1536</v>
      </c>
      <c r="C23" s="57"/>
      <c r="D23" s="23" t="b">
        <v>0</v>
      </c>
      <c r="E23" s="23" t="b">
        <v>0</v>
      </c>
      <c r="F23" s="25" t="s">
        <v>1561</v>
      </c>
      <c r="G23" s="18" t="s">
        <v>1562</v>
      </c>
      <c r="I23" s="18" t="s">
        <v>229</v>
      </c>
      <c r="J23" s="47" t="s">
        <v>897</v>
      </c>
      <c r="K23" s="47" t="s">
        <v>1552</v>
      </c>
      <c r="L23" s="24" t="s">
        <v>262</v>
      </c>
      <c r="M23" s="24" t="s">
        <v>229</v>
      </c>
      <c r="N23" s="24" t="s">
        <v>285</v>
      </c>
      <c r="O23" s="24" t="s">
        <v>304</v>
      </c>
      <c r="P23" s="24"/>
      <c r="Q23" s="24">
        <v>2050</v>
      </c>
      <c r="R23" s="24" t="s">
        <v>456</v>
      </c>
      <c r="S23" s="24" t="s">
        <v>475</v>
      </c>
      <c r="T23" s="24">
        <v>2021</v>
      </c>
      <c r="U23" s="189">
        <v>9</v>
      </c>
      <c r="V23" s="24" t="str">
        <f t="shared" si="0"/>
        <v>Mature</v>
      </c>
      <c r="W23" s="24" t="s">
        <v>1447</v>
      </c>
      <c r="X23" s="23" t="b">
        <v>0</v>
      </c>
      <c r="Y23" s="233">
        <v>0.45800000000000002</v>
      </c>
      <c r="AA23" s="24" t="s">
        <v>1553</v>
      </c>
      <c r="AB23" s="25" t="s">
        <v>339</v>
      </c>
      <c r="AE23" s="184" t="s">
        <v>1554</v>
      </c>
      <c r="AF23" s="24" t="s">
        <v>1485</v>
      </c>
      <c r="AG23" s="24" t="s">
        <v>364</v>
      </c>
      <c r="AH23" s="24" t="s">
        <v>364</v>
      </c>
      <c r="AI23" s="24" t="s">
        <v>364</v>
      </c>
      <c r="AJ23" s="186">
        <f t="shared" si="2"/>
        <v>0.63250000000000006</v>
      </c>
      <c r="AK23" s="186">
        <f t="shared" si="2"/>
        <v>0.63250000000000006</v>
      </c>
      <c r="AL23" s="24" t="s">
        <v>1351</v>
      </c>
      <c r="AO23" s="165" t="s">
        <v>1555</v>
      </c>
      <c r="AP23" s="24">
        <v>0</v>
      </c>
      <c r="AQ23" s="24">
        <v>0</v>
      </c>
      <c r="AR23" s="24">
        <v>20</v>
      </c>
      <c r="AS23" s="24">
        <v>0</v>
      </c>
      <c r="AT23" s="24">
        <v>995</v>
      </c>
      <c r="AU23" s="24">
        <v>0</v>
      </c>
      <c r="AV23" s="111">
        <f t="shared" si="1"/>
        <v>8.9447236180904532</v>
      </c>
      <c r="AW23" s="111">
        <v>89</v>
      </c>
      <c r="AX23" s="178">
        <v>2.7000000000000001E-3</v>
      </c>
      <c r="AZ23" s="23" t="b">
        <v>0</v>
      </c>
      <c r="BA23" s="24"/>
      <c r="BB23" s="349" t="s">
        <v>1556</v>
      </c>
      <c r="BC23" s="349" t="s">
        <v>1081</v>
      </c>
      <c r="BD23" s="350">
        <v>1.8900000000000001E-4</v>
      </c>
      <c r="BE23" s="349" t="s">
        <v>1077</v>
      </c>
      <c r="BF23" s="18" t="str">
        <f>IF(AE23="na","na","needs value")</f>
        <v>needs value</v>
      </c>
      <c r="BG23" s="18" t="str">
        <f>IF(AJ23="na","na","needs value")</f>
        <v>needs value</v>
      </c>
      <c r="BH23" s="143" t="s">
        <v>264</v>
      </c>
      <c r="BI23" s="143" t="s">
        <v>264</v>
      </c>
      <c r="BJ23" s="143" t="s">
        <v>264</v>
      </c>
      <c r="BK23" s="18" t="s">
        <v>1557</v>
      </c>
      <c r="BL23" s="18" t="s">
        <v>1459</v>
      </c>
      <c r="BM23" s="95" t="s">
        <v>1558</v>
      </c>
      <c r="BO23" s="116" t="s">
        <v>1535</v>
      </c>
      <c r="BQ23" s="138"/>
      <c r="BT23" s="18">
        <v>8000</v>
      </c>
      <c r="BU23" s="139">
        <f>BT23/AT23-1</f>
        <v>7.0402010050251249</v>
      </c>
      <c r="BV23" s="18">
        <v>120</v>
      </c>
      <c r="BW23" s="139">
        <f>BV23/AW23-1</f>
        <v>0.348314606741573</v>
      </c>
      <c r="BX23" s="18" t="s">
        <v>1464</v>
      </c>
    </row>
    <row r="24" spans="1:80" ht="46.8">
      <c r="A24" s="125" t="b">
        <v>1</v>
      </c>
      <c r="B24" s="94" t="s">
        <v>1476</v>
      </c>
      <c r="C24" s="94"/>
      <c r="D24" s="125" t="b">
        <v>0</v>
      </c>
      <c r="E24" s="125" t="b">
        <v>0</v>
      </c>
      <c r="F24" s="126" t="s">
        <v>1563</v>
      </c>
      <c r="G24" s="18" t="s">
        <v>1564</v>
      </c>
      <c r="H24" s="126"/>
      <c r="I24" s="127" t="s">
        <v>230</v>
      </c>
      <c r="J24" s="105" t="s">
        <v>1565</v>
      </c>
      <c r="K24" s="47" t="s">
        <v>272</v>
      </c>
      <c r="L24" s="128" t="s">
        <v>262</v>
      </c>
      <c r="M24" s="128" t="s">
        <v>272</v>
      </c>
      <c r="N24" s="70"/>
      <c r="O24" s="129" t="s">
        <v>304</v>
      </c>
      <c r="P24" s="70"/>
      <c r="Q24" s="129">
        <v>2030</v>
      </c>
      <c r="R24" s="129" t="s">
        <v>456</v>
      </c>
      <c r="S24" s="129" t="s">
        <v>475</v>
      </c>
      <c r="T24" s="70"/>
      <c r="U24" s="180">
        <v>9</v>
      </c>
      <c r="V24" s="24" t="str">
        <f t="shared" si="0"/>
        <v>Mature</v>
      </c>
      <c r="W24" s="70"/>
      <c r="X24" s="125" t="b">
        <v>0</v>
      </c>
      <c r="Y24" s="70">
        <v>0.64</v>
      </c>
      <c r="Z24" s="70"/>
      <c r="AA24" s="130" t="s">
        <v>555</v>
      </c>
      <c r="AB24" s="130" t="s">
        <v>264</v>
      </c>
      <c r="AC24" s="124"/>
      <c r="AD24" s="124"/>
      <c r="AE24" s="183">
        <v>1</v>
      </c>
      <c r="AF24" s="94" t="s">
        <v>1351</v>
      </c>
      <c r="AG24" s="130" t="s">
        <v>1546</v>
      </c>
      <c r="AH24" s="130" t="s">
        <v>1546</v>
      </c>
      <c r="AI24" s="131" t="s">
        <v>352</v>
      </c>
      <c r="AJ24" s="183" t="s">
        <v>1566</v>
      </c>
      <c r="AK24" s="183" t="s">
        <v>1566</v>
      </c>
      <c r="AL24" s="94" t="s">
        <v>1485</v>
      </c>
      <c r="AM24" s="124"/>
      <c r="AN24" s="124"/>
      <c r="AO24" s="195" t="s">
        <v>264</v>
      </c>
      <c r="AP24" s="129">
        <v>1000</v>
      </c>
      <c r="AQ24" s="129">
        <v>0</v>
      </c>
      <c r="AR24" s="94">
        <v>16</v>
      </c>
      <c r="AS24" s="129">
        <v>0</v>
      </c>
      <c r="AT24" s="132">
        <v>6000</v>
      </c>
      <c r="AU24" s="129">
        <v>0</v>
      </c>
      <c r="AV24" s="111">
        <f t="shared" si="1"/>
        <v>1.0333333333333334</v>
      </c>
      <c r="AW24" s="70">
        <v>62</v>
      </c>
      <c r="AX24" s="176">
        <v>0</v>
      </c>
      <c r="AY24" s="124"/>
      <c r="AZ24" s="125" t="b">
        <v>0</v>
      </c>
      <c r="BA24" s="24" t="s">
        <v>1456</v>
      </c>
      <c r="BB24" s="349" t="s">
        <v>1567</v>
      </c>
      <c r="BC24" s="349" t="s">
        <v>1081</v>
      </c>
      <c r="BD24" s="350">
        <v>753.19027840000001</v>
      </c>
      <c r="BE24" s="349" t="s">
        <v>1075</v>
      </c>
      <c r="BF24" s="143" t="s">
        <v>264</v>
      </c>
      <c r="BG24" s="143" t="s">
        <v>264</v>
      </c>
      <c r="BH24" s="143" t="s">
        <v>264</v>
      </c>
      <c r="BI24" s="143" t="s">
        <v>264</v>
      </c>
      <c r="BJ24" s="143" t="s">
        <v>264</v>
      </c>
      <c r="BK24" s="18" t="s">
        <v>1568</v>
      </c>
      <c r="BL24" s="18" t="s">
        <v>1459</v>
      </c>
      <c r="BM24" s="121" t="s">
        <v>1569</v>
      </c>
      <c r="BN24" s="124"/>
      <c r="BO24" s="140" t="s">
        <v>1570</v>
      </c>
      <c r="BP24" s="18">
        <v>4600</v>
      </c>
      <c r="BQ24" s="18" t="s">
        <v>1571</v>
      </c>
      <c r="BR24" s="18">
        <v>96</v>
      </c>
      <c r="BS24" s="18" t="s">
        <v>1571</v>
      </c>
      <c r="BX24" s="18">
        <v>40</v>
      </c>
      <c r="BY24" s="138">
        <f>BX24/AR24-1</f>
        <v>1.5</v>
      </c>
      <c r="BZ24" s="144">
        <v>0.2</v>
      </c>
    </row>
    <row r="25" spans="1:80" ht="62.4">
      <c r="A25" s="125" t="b">
        <v>1</v>
      </c>
      <c r="B25" s="94" t="s">
        <v>1476</v>
      </c>
      <c r="C25" s="94"/>
      <c r="D25" s="125" t="b">
        <v>0</v>
      </c>
      <c r="E25" s="125" t="b">
        <v>0</v>
      </c>
      <c r="F25" s="126" t="s">
        <v>1572</v>
      </c>
      <c r="G25" s="18" t="s">
        <v>1573</v>
      </c>
      <c r="H25" s="126"/>
      <c r="I25" s="127" t="s">
        <v>230</v>
      </c>
      <c r="J25" s="105" t="s">
        <v>587</v>
      </c>
      <c r="K25" s="47" t="s">
        <v>272</v>
      </c>
      <c r="L25" s="128" t="s">
        <v>259</v>
      </c>
      <c r="M25" s="128" t="s">
        <v>275</v>
      </c>
      <c r="N25" s="70"/>
      <c r="O25" s="129" t="s">
        <v>304</v>
      </c>
      <c r="P25" s="70"/>
      <c r="Q25" s="129">
        <v>2030</v>
      </c>
      <c r="R25" s="129" t="s">
        <v>456</v>
      </c>
      <c r="S25" s="129" t="s">
        <v>475</v>
      </c>
      <c r="T25" s="70"/>
      <c r="U25" s="180">
        <v>9</v>
      </c>
      <c r="V25" s="24" t="str">
        <f t="shared" si="0"/>
        <v>Mature</v>
      </c>
      <c r="W25" s="70"/>
      <c r="X25" s="125" t="b">
        <v>0</v>
      </c>
      <c r="Y25" s="70">
        <v>0.64</v>
      </c>
      <c r="Z25" s="70"/>
      <c r="AA25" s="130" t="s">
        <v>555</v>
      </c>
      <c r="AB25" s="130" t="s">
        <v>264</v>
      </c>
      <c r="AC25" s="124"/>
      <c r="AD25" s="124"/>
      <c r="AE25" s="183">
        <v>1</v>
      </c>
      <c r="AF25" s="94" t="s">
        <v>1351</v>
      </c>
      <c r="AG25" s="130" t="s">
        <v>1574</v>
      </c>
      <c r="AH25" s="130" t="s">
        <v>1574</v>
      </c>
      <c r="AI25" s="130" t="s">
        <v>354</v>
      </c>
      <c r="AJ25" s="183" t="s">
        <v>1575</v>
      </c>
      <c r="AK25" s="183" t="s">
        <v>1575</v>
      </c>
      <c r="AL25" s="94" t="s">
        <v>1485</v>
      </c>
      <c r="AM25" s="124"/>
      <c r="AN25" s="124"/>
      <c r="AO25" s="195" t="s">
        <v>264</v>
      </c>
      <c r="AP25" s="129">
        <v>1000</v>
      </c>
      <c r="AQ25" s="129">
        <v>0</v>
      </c>
      <c r="AR25" s="94">
        <v>16</v>
      </c>
      <c r="AS25" s="129">
        <v>0</v>
      </c>
      <c r="AT25" s="170">
        <v>10000</v>
      </c>
      <c r="AU25" s="129">
        <v>0</v>
      </c>
      <c r="AV25" s="111">
        <f t="shared" si="1"/>
        <v>2.82</v>
      </c>
      <c r="AW25" s="70">
        <v>282</v>
      </c>
      <c r="AX25" s="177">
        <v>0</v>
      </c>
      <c r="AY25" s="124"/>
      <c r="AZ25" s="125" t="b">
        <v>0</v>
      </c>
      <c r="BA25" s="24" t="s">
        <v>1456</v>
      </c>
      <c r="BB25" s="349" t="s">
        <v>1567</v>
      </c>
      <c r="BC25" s="349" t="s">
        <v>1081</v>
      </c>
      <c r="BD25" s="350">
        <v>753.19027840000001</v>
      </c>
      <c r="BE25" s="349" t="s">
        <v>1075</v>
      </c>
      <c r="BF25" s="143" t="s">
        <v>264</v>
      </c>
      <c r="BG25" s="143" t="s">
        <v>264</v>
      </c>
      <c r="BH25" s="143" t="s">
        <v>264</v>
      </c>
      <c r="BI25" s="143" t="s">
        <v>264</v>
      </c>
      <c r="BJ25" s="143" t="s">
        <v>264</v>
      </c>
      <c r="BK25" s="18" t="s">
        <v>1576</v>
      </c>
      <c r="BL25" s="18" t="s">
        <v>1459</v>
      </c>
      <c r="BM25" s="121" t="s">
        <v>1577</v>
      </c>
      <c r="BN25" s="124"/>
      <c r="BO25" s="140" t="s">
        <v>1578</v>
      </c>
      <c r="BP25" s="18">
        <v>4600</v>
      </c>
      <c r="BQ25" s="18" t="s">
        <v>1571</v>
      </c>
      <c r="BR25" s="18">
        <v>96</v>
      </c>
      <c r="BS25" s="18" t="s">
        <v>1571</v>
      </c>
      <c r="BX25" s="18">
        <v>40</v>
      </c>
      <c r="BY25" s="138">
        <f>BX25/AR25-1</f>
        <v>1.5</v>
      </c>
      <c r="BZ25" s="144">
        <v>0.2</v>
      </c>
    </row>
    <row r="26" spans="1:80">
      <c r="A26" s="23" t="b">
        <v>0</v>
      </c>
      <c r="B26" s="57"/>
      <c r="C26" s="57"/>
      <c r="D26" s="23" t="b">
        <v>0</v>
      </c>
      <c r="E26" s="23" t="b">
        <v>0</v>
      </c>
      <c r="F26" s="31" t="s">
        <v>1579</v>
      </c>
      <c r="G26" s="18" t="s">
        <v>1580</v>
      </c>
      <c r="I26" s="18" t="s">
        <v>235</v>
      </c>
      <c r="J26" s="47" t="s">
        <v>603</v>
      </c>
      <c r="K26" s="47" t="s">
        <v>591</v>
      </c>
      <c r="L26" s="24" t="s">
        <v>267</v>
      </c>
      <c r="M26" s="24" t="s">
        <v>269</v>
      </c>
      <c r="N26" s="24" t="s">
        <v>262</v>
      </c>
      <c r="O26" s="24" t="s">
        <v>304</v>
      </c>
      <c r="P26" s="24"/>
      <c r="Q26" s="24">
        <v>2020</v>
      </c>
      <c r="R26" s="24" t="s">
        <v>456</v>
      </c>
      <c r="S26" s="24" t="s">
        <v>475</v>
      </c>
      <c r="U26" s="189">
        <v>9</v>
      </c>
      <c r="V26" s="24" t="str">
        <f t="shared" si="0"/>
        <v>Mature</v>
      </c>
      <c r="X26" s="23" t="b">
        <v>0</v>
      </c>
      <c r="Y26" s="24">
        <v>0.93</v>
      </c>
      <c r="AA26" s="24" t="s">
        <v>555</v>
      </c>
      <c r="AB26" s="24" t="s">
        <v>264</v>
      </c>
      <c r="AE26" s="184">
        <v>1</v>
      </c>
      <c r="AF26" s="24" t="s">
        <v>1351</v>
      </c>
      <c r="AG26" s="24" t="s">
        <v>420</v>
      </c>
      <c r="AH26" s="24" t="s">
        <v>420</v>
      </c>
      <c r="AI26" s="24" t="s">
        <v>420</v>
      </c>
      <c r="AJ26" s="184">
        <v>0.93</v>
      </c>
      <c r="AK26" s="184">
        <v>0.93</v>
      </c>
      <c r="AL26" s="24" t="s">
        <v>1351</v>
      </c>
      <c r="AO26" s="165" t="s">
        <v>264</v>
      </c>
      <c r="AP26" s="24">
        <v>0</v>
      </c>
      <c r="AQ26" s="24">
        <v>0</v>
      </c>
      <c r="AR26" s="24">
        <v>20</v>
      </c>
      <c r="AS26" s="24">
        <v>0</v>
      </c>
      <c r="AT26" s="171">
        <v>1900</v>
      </c>
      <c r="AU26" s="24">
        <v>0</v>
      </c>
      <c r="AV26" s="111">
        <f t="shared" si="1"/>
        <v>6</v>
      </c>
      <c r="AW26" s="24">
        <v>114</v>
      </c>
      <c r="AX26" s="177">
        <v>0</v>
      </c>
      <c r="AZ26" s="23" t="b">
        <v>0</v>
      </c>
      <c r="BA26" s="24" t="s">
        <v>1533</v>
      </c>
      <c r="BB26" s="349" t="s">
        <v>1581</v>
      </c>
      <c r="BC26" s="349" t="s">
        <v>1081</v>
      </c>
      <c r="BD26" s="350">
        <v>45.141525299999998</v>
      </c>
      <c r="BE26" s="349" t="s">
        <v>1074</v>
      </c>
      <c r="BF26" s="143" t="s">
        <v>264</v>
      </c>
      <c r="BG26" s="143" t="s">
        <v>264</v>
      </c>
      <c r="BH26" s="143" t="s">
        <v>264</v>
      </c>
      <c r="BI26" s="143" t="s">
        <v>264</v>
      </c>
      <c r="BJ26" s="143" t="s">
        <v>264</v>
      </c>
      <c r="BK26" s="18" t="s">
        <v>1582</v>
      </c>
      <c r="BL26" s="18" t="s">
        <v>1459</v>
      </c>
      <c r="BM26" s="95"/>
      <c r="BO26" s="137" t="s">
        <v>1583</v>
      </c>
      <c r="BP26" s="18">
        <v>4600</v>
      </c>
      <c r="BQ26" s="18" t="s">
        <v>1571</v>
      </c>
      <c r="BR26" s="18">
        <v>96</v>
      </c>
      <c r="BS26" s="18" t="s">
        <v>1571</v>
      </c>
      <c r="BX26" s="18">
        <v>40</v>
      </c>
      <c r="BY26" s="138">
        <f>BX26/AR26-1</f>
        <v>1</v>
      </c>
      <c r="BZ26" s="144">
        <v>0.2</v>
      </c>
    </row>
    <row r="27" spans="1:80">
      <c r="A27" s="23" t="b">
        <v>0</v>
      </c>
      <c r="B27" s="57"/>
      <c r="C27" s="57"/>
      <c r="D27" s="23" t="b">
        <v>0</v>
      </c>
      <c r="E27" s="23" t="b">
        <v>0</v>
      </c>
      <c r="F27" s="31" t="s">
        <v>1584</v>
      </c>
      <c r="G27" s="18" t="s">
        <v>1585</v>
      </c>
      <c r="I27" s="18" t="s">
        <v>235</v>
      </c>
      <c r="J27" s="47" t="s">
        <v>603</v>
      </c>
      <c r="K27" s="47" t="s">
        <v>591</v>
      </c>
      <c r="L27" s="24" t="s">
        <v>267</v>
      </c>
      <c r="M27" s="24" t="s">
        <v>269</v>
      </c>
      <c r="N27" s="24" t="s">
        <v>262</v>
      </c>
      <c r="O27" s="24" t="s">
        <v>304</v>
      </c>
      <c r="P27" s="24"/>
      <c r="Q27" s="24">
        <v>2030</v>
      </c>
      <c r="R27" s="24" t="s">
        <v>456</v>
      </c>
      <c r="S27" s="24" t="s">
        <v>475</v>
      </c>
      <c r="U27" s="189">
        <v>9</v>
      </c>
      <c r="V27" s="24" t="str">
        <f t="shared" si="0"/>
        <v>Mature</v>
      </c>
      <c r="X27" s="23" t="b">
        <v>0</v>
      </c>
      <c r="Y27" s="24">
        <v>0.93</v>
      </c>
      <c r="AA27" s="24" t="s">
        <v>555</v>
      </c>
      <c r="AB27" s="24" t="s">
        <v>264</v>
      </c>
      <c r="AE27" s="184">
        <v>1</v>
      </c>
      <c r="AF27" s="24" t="s">
        <v>1351</v>
      </c>
      <c r="AG27" s="24" t="s">
        <v>420</v>
      </c>
      <c r="AH27" s="24" t="s">
        <v>420</v>
      </c>
      <c r="AI27" s="24" t="s">
        <v>420</v>
      </c>
      <c r="AJ27" s="184">
        <v>0.93</v>
      </c>
      <c r="AK27" s="184">
        <v>0.93</v>
      </c>
      <c r="AL27" s="24" t="s">
        <v>1351</v>
      </c>
      <c r="AO27" s="165" t="s">
        <v>264</v>
      </c>
      <c r="AP27" s="24">
        <v>0</v>
      </c>
      <c r="AQ27" s="24">
        <v>0</v>
      </c>
      <c r="AR27" s="24">
        <v>20</v>
      </c>
      <c r="AS27" s="24">
        <v>0</v>
      </c>
      <c r="AT27" s="171">
        <v>1900</v>
      </c>
      <c r="AU27" s="24">
        <v>0</v>
      </c>
      <c r="AV27" s="111">
        <f t="shared" si="1"/>
        <v>6</v>
      </c>
      <c r="AW27" s="24">
        <v>114</v>
      </c>
      <c r="AX27" s="177">
        <v>0</v>
      </c>
      <c r="AZ27" s="23" t="b">
        <v>0</v>
      </c>
      <c r="BA27" s="24" t="s">
        <v>1533</v>
      </c>
      <c r="BB27" s="349" t="s">
        <v>1581</v>
      </c>
      <c r="BC27" s="349" t="s">
        <v>1081</v>
      </c>
      <c r="BD27" s="350">
        <v>37.919542999999997</v>
      </c>
      <c r="BE27" s="349" t="s">
        <v>1075</v>
      </c>
      <c r="BF27" s="143" t="s">
        <v>264</v>
      </c>
      <c r="BG27" s="143" t="s">
        <v>264</v>
      </c>
      <c r="BH27" s="143" t="s">
        <v>264</v>
      </c>
      <c r="BI27" s="143" t="s">
        <v>264</v>
      </c>
      <c r="BJ27" s="143" t="s">
        <v>264</v>
      </c>
      <c r="BK27" s="18" t="s">
        <v>1582</v>
      </c>
      <c r="BL27" s="18" t="s">
        <v>1459</v>
      </c>
      <c r="BM27" s="95"/>
      <c r="BO27" s="137" t="s">
        <v>1583</v>
      </c>
      <c r="BP27" s="18">
        <v>4600</v>
      </c>
      <c r="BQ27" s="18" t="s">
        <v>1571</v>
      </c>
      <c r="BR27" s="18">
        <v>96</v>
      </c>
      <c r="BS27" s="18" t="s">
        <v>1571</v>
      </c>
      <c r="BX27" s="18">
        <v>40</v>
      </c>
      <c r="BY27" s="138">
        <f>BX27/AR27-1</f>
        <v>1</v>
      </c>
      <c r="BZ27" s="144">
        <v>0.2</v>
      </c>
    </row>
    <row r="28" spans="1:80">
      <c r="A28" s="23" t="b">
        <v>0</v>
      </c>
      <c r="B28" s="57"/>
      <c r="C28" s="57"/>
      <c r="D28" s="23" t="b">
        <v>0</v>
      </c>
      <c r="E28" s="23" t="b">
        <v>0</v>
      </c>
      <c r="F28" s="31" t="s">
        <v>1586</v>
      </c>
      <c r="G28" s="18" t="s">
        <v>1587</v>
      </c>
      <c r="I28" s="18" t="s">
        <v>235</v>
      </c>
      <c r="J28" s="47" t="s">
        <v>603</v>
      </c>
      <c r="K28" s="47" t="s">
        <v>591</v>
      </c>
      <c r="L28" s="24" t="s">
        <v>267</v>
      </c>
      <c r="M28" s="24" t="s">
        <v>269</v>
      </c>
      <c r="N28" s="24" t="s">
        <v>262</v>
      </c>
      <c r="O28" s="24" t="s">
        <v>304</v>
      </c>
      <c r="P28" s="24"/>
      <c r="Q28" s="24">
        <v>2040</v>
      </c>
      <c r="R28" s="24" t="s">
        <v>456</v>
      </c>
      <c r="S28" s="24" t="s">
        <v>475</v>
      </c>
      <c r="U28" s="189">
        <v>9</v>
      </c>
      <c r="V28" s="24" t="str">
        <f t="shared" si="0"/>
        <v>Mature</v>
      </c>
      <c r="X28" s="23" t="b">
        <v>0</v>
      </c>
      <c r="Y28" s="24">
        <v>0.93</v>
      </c>
      <c r="AA28" s="24" t="s">
        <v>555</v>
      </c>
      <c r="AB28" s="24" t="s">
        <v>264</v>
      </c>
      <c r="AE28" s="184">
        <v>1</v>
      </c>
      <c r="AF28" s="24" t="s">
        <v>1351</v>
      </c>
      <c r="AG28" s="24" t="s">
        <v>420</v>
      </c>
      <c r="AH28" s="24" t="s">
        <v>420</v>
      </c>
      <c r="AI28" s="24" t="s">
        <v>420</v>
      </c>
      <c r="AJ28" s="184">
        <v>0.93</v>
      </c>
      <c r="AK28" s="184">
        <v>0.93</v>
      </c>
      <c r="AL28" s="24" t="s">
        <v>1351</v>
      </c>
      <c r="AO28" s="165" t="s">
        <v>264</v>
      </c>
      <c r="AP28" s="24">
        <v>0</v>
      </c>
      <c r="AQ28" s="24">
        <v>0</v>
      </c>
      <c r="AR28" s="24">
        <v>20</v>
      </c>
      <c r="AS28" s="24">
        <v>0</v>
      </c>
      <c r="AT28" s="171">
        <v>1900</v>
      </c>
      <c r="AU28" s="24">
        <v>0</v>
      </c>
      <c r="AV28" s="111">
        <f t="shared" si="1"/>
        <v>6</v>
      </c>
      <c r="AW28" s="24">
        <v>114</v>
      </c>
      <c r="AX28" s="177">
        <v>0</v>
      </c>
      <c r="AZ28" s="23" t="b">
        <v>0</v>
      </c>
      <c r="BA28" s="24" t="s">
        <v>1533</v>
      </c>
      <c r="BB28" s="349" t="s">
        <v>1581</v>
      </c>
      <c r="BC28" s="349" t="s">
        <v>1081</v>
      </c>
      <c r="BD28" s="350">
        <v>25.2790286</v>
      </c>
      <c r="BE28" s="349" t="s">
        <v>1076</v>
      </c>
      <c r="BF28" s="143" t="s">
        <v>264</v>
      </c>
      <c r="BG28" s="143" t="s">
        <v>264</v>
      </c>
      <c r="BH28" s="143" t="s">
        <v>264</v>
      </c>
      <c r="BI28" s="143" t="s">
        <v>264</v>
      </c>
      <c r="BJ28" s="143" t="s">
        <v>264</v>
      </c>
      <c r="BK28" s="18" t="s">
        <v>1588</v>
      </c>
      <c r="BL28" s="18" t="s">
        <v>1459</v>
      </c>
      <c r="BM28" s="95"/>
      <c r="BO28" s="137" t="s">
        <v>1583</v>
      </c>
      <c r="BX28" s="18">
        <v>23</v>
      </c>
    </row>
    <row r="29" spans="1:80">
      <c r="A29" s="23" t="b">
        <v>0</v>
      </c>
      <c r="B29" s="57"/>
      <c r="C29" s="57"/>
      <c r="D29" s="23" t="b">
        <v>0</v>
      </c>
      <c r="E29" s="23" t="b">
        <v>0</v>
      </c>
      <c r="F29" s="31" t="s">
        <v>1589</v>
      </c>
      <c r="G29" s="18" t="s">
        <v>1590</v>
      </c>
      <c r="I29" s="18" t="s">
        <v>235</v>
      </c>
      <c r="J29" s="47" t="s">
        <v>603</v>
      </c>
      <c r="K29" s="47" t="s">
        <v>591</v>
      </c>
      <c r="L29" s="24" t="s">
        <v>267</v>
      </c>
      <c r="M29" s="24" t="s">
        <v>269</v>
      </c>
      <c r="N29" s="24" t="s">
        <v>262</v>
      </c>
      <c r="O29" s="24" t="s">
        <v>304</v>
      </c>
      <c r="P29" s="24"/>
      <c r="Q29" s="24">
        <v>2050</v>
      </c>
      <c r="R29" s="24" t="s">
        <v>456</v>
      </c>
      <c r="S29" s="24" t="s">
        <v>475</v>
      </c>
      <c r="U29" s="189">
        <v>9</v>
      </c>
      <c r="V29" s="24" t="str">
        <f t="shared" si="0"/>
        <v>Mature</v>
      </c>
      <c r="X29" s="23" t="b">
        <v>0</v>
      </c>
      <c r="Y29" s="24">
        <v>0.93</v>
      </c>
      <c r="AA29" s="24" t="s">
        <v>555</v>
      </c>
      <c r="AB29" s="24" t="s">
        <v>264</v>
      </c>
      <c r="AE29" s="184">
        <v>1</v>
      </c>
      <c r="AF29" s="24" t="s">
        <v>1351</v>
      </c>
      <c r="AG29" s="24" t="s">
        <v>420</v>
      </c>
      <c r="AH29" s="24" t="s">
        <v>420</v>
      </c>
      <c r="AI29" s="24" t="s">
        <v>420</v>
      </c>
      <c r="AJ29" s="184">
        <v>0.93</v>
      </c>
      <c r="AK29" s="184">
        <v>0.93</v>
      </c>
      <c r="AL29" s="24" t="s">
        <v>1351</v>
      </c>
      <c r="AO29" s="165" t="s">
        <v>264</v>
      </c>
      <c r="AP29" s="24">
        <v>0</v>
      </c>
      <c r="AQ29" s="24">
        <v>0</v>
      </c>
      <c r="AR29" s="24">
        <v>20</v>
      </c>
      <c r="AS29" s="24">
        <v>0</v>
      </c>
      <c r="AT29" s="171">
        <v>1900</v>
      </c>
      <c r="AU29" s="24">
        <v>0</v>
      </c>
      <c r="AV29" s="111">
        <f t="shared" si="1"/>
        <v>6</v>
      </c>
      <c r="AW29" s="24">
        <v>114</v>
      </c>
      <c r="AX29" s="177">
        <v>0</v>
      </c>
      <c r="AZ29" s="23" t="b">
        <v>0</v>
      </c>
      <c r="BA29" s="24" t="s">
        <v>1533</v>
      </c>
      <c r="BB29" s="349" t="s">
        <v>1581</v>
      </c>
      <c r="BC29" s="349" t="s">
        <v>1081</v>
      </c>
      <c r="BD29" s="350">
        <v>18.382648499999998</v>
      </c>
      <c r="BE29" s="349" t="s">
        <v>1077</v>
      </c>
      <c r="BF29" s="143" t="s">
        <v>264</v>
      </c>
      <c r="BG29" s="143" t="s">
        <v>264</v>
      </c>
      <c r="BH29" s="143" t="s">
        <v>264</v>
      </c>
      <c r="BI29" s="143" t="s">
        <v>264</v>
      </c>
      <c r="BJ29" s="143" t="s">
        <v>264</v>
      </c>
      <c r="BK29" s="18" t="s">
        <v>1591</v>
      </c>
      <c r="BL29" s="18" t="s">
        <v>1459</v>
      </c>
      <c r="BM29" s="95"/>
      <c r="BO29" s="137" t="s">
        <v>1583</v>
      </c>
      <c r="BX29" s="18">
        <v>23</v>
      </c>
    </row>
    <row r="30" spans="1:80" ht="31.2">
      <c r="A30" s="23" t="b">
        <v>0</v>
      </c>
      <c r="B30" s="57"/>
      <c r="C30" s="57"/>
      <c r="D30" s="23" t="b">
        <v>0</v>
      </c>
      <c r="E30" s="23" t="b">
        <v>0</v>
      </c>
      <c r="F30" s="31" t="s">
        <v>1592</v>
      </c>
      <c r="G30" s="18" t="s">
        <v>1593</v>
      </c>
      <c r="I30" s="18" t="s">
        <v>239</v>
      </c>
      <c r="J30" s="47" t="s">
        <v>621</v>
      </c>
      <c r="K30" s="47" t="s">
        <v>1594</v>
      </c>
      <c r="L30" s="24" t="s">
        <v>267</v>
      </c>
      <c r="M30" s="24"/>
      <c r="N30" s="24"/>
      <c r="O30" s="24" t="s">
        <v>304</v>
      </c>
      <c r="P30" s="24"/>
      <c r="Q30" s="24">
        <v>2020</v>
      </c>
      <c r="R30" s="24" t="s">
        <v>456</v>
      </c>
      <c r="S30" s="24" t="s">
        <v>475</v>
      </c>
      <c r="U30" s="189">
        <v>9</v>
      </c>
      <c r="V30" s="24" t="str">
        <f t="shared" si="0"/>
        <v>Mature</v>
      </c>
      <c r="X30" s="23" t="b">
        <v>0</v>
      </c>
      <c r="Y30" s="24">
        <v>0.85</v>
      </c>
      <c r="AA30" s="24" t="s">
        <v>555</v>
      </c>
      <c r="AB30" s="24" t="s">
        <v>264</v>
      </c>
      <c r="AE30" s="184">
        <v>1</v>
      </c>
      <c r="AF30" s="24" t="s">
        <v>1351</v>
      </c>
      <c r="AG30" s="24" t="s">
        <v>437</v>
      </c>
      <c r="AH30" s="24" t="s">
        <v>437</v>
      </c>
      <c r="AI30" s="24" t="s">
        <v>437</v>
      </c>
      <c r="AJ30" s="184">
        <v>0.85</v>
      </c>
      <c r="AK30" s="184">
        <v>0.85</v>
      </c>
      <c r="AL30" s="24" t="s">
        <v>1351</v>
      </c>
      <c r="AO30" s="165" t="s">
        <v>264</v>
      </c>
      <c r="AP30" s="24">
        <v>0</v>
      </c>
      <c r="AQ30" s="24">
        <v>0</v>
      </c>
      <c r="AR30" s="24">
        <v>25</v>
      </c>
      <c r="AS30" s="24">
        <v>0</v>
      </c>
      <c r="AT30" s="171">
        <v>300</v>
      </c>
      <c r="AU30" s="24">
        <v>0</v>
      </c>
      <c r="AV30" s="111">
        <f t="shared" si="1"/>
        <v>3</v>
      </c>
      <c r="AW30" s="24">
        <v>9</v>
      </c>
      <c r="AX30" s="177">
        <v>0</v>
      </c>
      <c r="AZ30" s="23" t="b">
        <v>0</v>
      </c>
      <c r="BA30" s="24" t="s">
        <v>1533</v>
      </c>
      <c r="BB30" s="349" t="s">
        <v>1581</v>
      </c>
      <c r="BC30" s="349" t="s">
        <v>1081</v>
      </c>
      <c r="BD30" s="350">
        <v>45.141525299999998</v>
      </c>
      <c r="BE30" s="349" t="s">
        <v>1074</v>
      </c>
      <c r="BF30" s="143" t="s">
        <v>264</v>
      </c>
      <c r="BG30" s="143" t="s">
        <v>264</v>
      </c>
      <c r="BH30" s="143" t="s">
        <v>264</v>
      </c>
      <c r="BI30" s="143" t="s">
        <v>264</v>
      </c>
      <c r="BJ30" s="143" t="s">
        <v>264</v>
      </c>
      <c r="BK30" s="18" t="s">
        <v>1595</v>
      </c>
      <c r="BL30" s="18" t="s">
        <v>1459</v>
      </c>
      <c r="BM30" s="95"/>
      <c r="BO30" s="116" t="s">
        <v>1535</v>
      </c>
      <c r="BX30" s="18">
        <v>15</v>
      </c>
    </row>
    <row r="31" spans="1:80" ht="31.2">
      <c r="A31" s="23" t="b">
        <v>0</v>
      </c>
      <c r="B31" s="57"/>
      <c r="C31" s="57"/>
      <c r="D31" s="23" t="b">
        <v>0</v>
      </c>
      <c r="E31" s="23" t="b">
        <v>0</v>
      </c>
      <c r="F31" s="31" t="s">
        <v>1596</v>
      </c>
      <c r="G31" s="18" t="s">
        <v>1597</v>
      </c>
      <c r="I31" s="18" t="s">
        <v>239</v>
      </c>
      <c r="J31" s="47" t="s">
        <v>621</v>
      </c>
      <c r="K31" s="47" t="s">
        <v>1594</v>
      </c>
      <c r="L31" s="24" t="s">
        <v>267</v>
      </c>
      <c r="M31" s="24"/>
      <c r="N31" s="24"/>
      <c r="O31" s="24" t="s">
        <v>304</v>
      </c>
      <c r="P31" s="24"/>
      <c r="Q31" s="24">
        <v>2030</v>
      </c>
      <c r="R31" s="24" t="s">
        <v>456</v>
      </c>
      <c r="S31" s="24" t="s">
        <v>475</v>
      </c>
      <c r="U31" s="189">
        <v>9</v>
      </c>
      <c r="V31" s="24" t="str">
        <f t="shared" si="0"/>
        <v>Mature</v>
      </c>
      <c r="X31" s="23" t="b">
        <v>0</v>
      </c>
      <c r="Y31" s="24">
        <v>0.85</v>
      </c>
      <c r="AA31" s="24" t="s">
        <v>555</v>
      </c>
      <c r="AB31" s="24" t="s">
        <v>264</v>
      </c>
      <c r="AE31" s="184">
        <v>1</v>
      </c>
      <c r="AF31" s="24" t="s">
        <v>1351</v>
      </c>
      <c r="AG31" s="24" t="s">
        <v>437</v>
      </c>
      <c r="AH31" s="24" t="s">
        <v>437</v>
      </c>
      <c r="AI31" s="24" t="s">
        <v>437</v>
      </c>
      <c r="AJ31" s="184">
        <v>0.85</v>
      </c>
      <c r="AK31" s="184">
        <v>0.85</v>
      </c>
      <c r="AL31" s="24" t="s">
        <v>1351</v>
      </c>
      <c r="AO31" s="165" t="s">
        <v>264</v>
      </c>
      <c r="AP31" s="24">
        <v>0</v>
      </c>
      <c r="AQ31" s="24">
        <v>0</v>
      </c>
      <c r="AR31" s="24">
        <v>25</v>
      </c>
      <c r="AS31" s="24">
        <v>0</v>
      </c>
      <c r="AT31" s="171">
        <v>300</v>
      </c>
      <c r="AU31" s="24">
        <v>0</v>
      </c>
      <c r="AV31" s="111">
        <f t="shared" si="1"/>
        <v>3</v>
      </c>
      <c r="AW31" s="24">
        <v>9</v>
      </c>
      <c r="AX31" s="177">
        <v>0</v>
      </c>
      <c r="AZ31" s="23" t="b">
        <v>0</v>
      </c>
      <c r="BA31" s="24" t="s">
        <v>1533</v>
      </c>
      <c r="BB31" s="349" t="s">
        <v>1581</v>
      </c>
      <c r="BC31" s="349" t="s">
        <v>1081</v>
      </c>
      <c r="BD31" s="350">
        <v>37.919542999999997</v>
      </c>
      <c r="BE31" s="349" t="s">
        <v>1075</v>
      </c>
      <c r="BF31" s="143" t="s">
        <v>264</v>
      </c>
      <c r="BG31" s="143" t="s">
        <v>264</v>
      </c>
      <c r="BH31" s="143" t="s">
        <v>264</v>
      </c>
      <c r="BI31" s="143" t="s">
        <v>264</v>
      </c>
      <c r="BJ31" s="143" t="s">
        <v>264</v>
      </c>
      <c r="BK31" s="18" t="s">
        <v>1598</v>
      </c>
      <c r="BL31" s="18" t="s">
        <v>1459</v>
      </c>
      <c r="BM31" s="95"/>
      <c r="BO31" s="116" t="s">
        <v>1535</v>
      </c>
      <c r="BX31" s="18">
        <v>23</v>
      </c>
      <c r="CB31" s="150">
        <f>68+2*394.4+2*229</f>
        <v>1314.8</v>
      </c>
    </row>
    <row r="32" spans="1:80" ht="31.2">
      <c r="A32" s="23" t="b">
        <v>0</v>
      </c>
      <c r="B32" s="57"/>
      <c r="C32" s="57"/>
      <c r="D32" s="23" t="b">
        <v>0</v>
      </c>
      <c r="E32" s="23" t="b">
        <v>0</v>
      </c>
      <c r="F32" s="31" t="s">
        <v>1599</v>
      </c>
      <c r="G32" s="18" t="s">
        <v>1600</v>
      </c>
      <c r="I32" s="18" t="s">
        <v>239</v>
      </c>
      <c r="J32" s="47" t="s">
        <v>621</v>
      </c>
      <c r="K32" s="47" t="s">
        <v>1594</v>
      </c>
      <c r="L32" s="24" t="s">
        <v>267</v>
      </c>
      <c r="M32" s="24"/>
      <c r="N32" s="24"/>
      <c r="O32" s="24" t="s">
        <v>304</v>
      </c>
      <c r="P32" s="24"/>
      <c r="Q32" s="24">
        <v>2040</v>
      </c>
      <c r="R32" s="24" t="s">
        <v>456</v>
      </c>
      <c r="S32" s="24" t="s">
        <v>475</v>
      </c>
      <c r="U32" s="189">
        <v>9</v>
      </c>
      <c r="V32" s="24" t="str">
        <f t="shared" si="0"/>
        <v>Mature</v>
      </c>
      <c r="X32" s="23" t="b">
        <v>0</v>
      </c>
      <c r="Y32" s="24">
        <v>0.85</v>
      </c>
      <c r="AA32" s="24" t="s">
        <v>555</v>
      </c>
      <c r="AB32" s="24" t="s">
        <v>264</v>
      </c>
      <c r="AE32" s="184">
        <v>1</v>
      </c>
      <c r="AF32" s="24" t="s">
        <v>1351</v>
      </c>
      <c r="AG32" s="24" t="s">
        <v>437</v>
      </c>
      <c r="AH32" s="24" t="s">
        <v>437</v>
      </c>
      <c r="AI32" s="24" t="s">
        <v>437</v>
      </c>
      <c r="AJ32" s="184">
        <v>0.85</v>
      </c>
      <c r="AK32" s="184">
        <v>0.85</v>
      </c>
      <c r="AL32" s="24" t="s">
        <v>1351</v>
      </c>
      <c r="AO32" s="165" t="s">
        <v>264</v>
      </c>
      <c r="AP32" s="24">
        <v>0</v>
      </c>
      <c r="AQ32" s="24">
        <v>0</v>
      </c>
      <c r="AR32" s="24">
        <v>25</v>
      </c>
      <c r="AS32" s="24">
        <v>0</v>
      </c>
      <c r="AT32" s="171">
        <v>300</v>
      </c>
      <c r="AU32" s="24">
        <v>0</v>
      </c>
      <c r="AV32" s="111">
        <f t="shared" si="1"/>
        <v>3</v>
      </c>
      <c r="AW32" s="24">
        <v>9</v>
      </c>
      <c r="AX32" s="177">
        <v>0</v>
      </c>
      <c r="AZ32" s="23" t="b">
        <v>0</v>
      </c>
      <c r="BA32" s="24" t="s">
        <v>1533</v>
      </c>
      <c r="BB32" s="349" t="s">
        <v>1581</v>
      </c>
      <c r="BC32" s="349" t="s">
        <v>1081</v>
      </c>
      <c r="BD32" s="350">
        <v>25.2790286</v>
      </c>
      <c r="BE32" s="349" t="s">
        <v>1076</v>
      </c>
      <c r="BF32" s="143" t="s">
        <v>264</v>
      </c>
      <c r="BG32" s="143" t="s">
        <v>264</v>
      </c>
      <c r="BH32" s="143" t="s">
        <v>264</v>
      </c>
      <c r="BI32" s="143" t="s">
        <v>264</v>
      </c>
      <c r="BJ32" s="143" t="s">
        <v>264</v>
      </c>
      <c r="BK32" s="18" t="s">
        <v>1598</v>
      </c>
      <c r="BL32" s="18" t="s">
        <v>1459</v>
      </c>
      <c r="BM32" s="95"/>
      <c r="BO32" s="116" t="s">
        <v>1535</v>
      </c>
      <c r="BX32" s="18">
        <v>23</v>
      </c>
    </row>
    <row r="33" spans="1:88" s="159" customFormat="1" ht="31.2">
      <c r="A33" s="23" t="b">
        <v>0</v>
      </c>
      <c r="B33" s="57"/>
      <c r="C33" s="57"/>
      <c r="D33" s="23" t="b">
        <v>0</v>
      </c>
      <c r="E33" s="23" t="b">
        <v>0</v>
      </c>
      <c r="F33" s="31" t="s">
        <v>1601</v>
      </c>
      <c r="G33" s="18" t="s">
        <v>1602</v>
      </c>
      <c r="H33" s="31"/>
      <c r="I33" s="18" t="s">
        <v>239</v>
      </c>
      <c r="J33" s="47" t="s">
        <v>621</v>
      </c>
      <c r="K33" s="47" t="s">
        <v>1594</v>
      </c>
      <c r="L33" s="24" t="s">
        <v>267</v>
      </c>
      <c r="M33" s="24"/>
      <c r="N33" s="24"/>
      <c r="O33" s="24" t="s">
        <v>304</v>
      </c>
      <c r="P33" s="24"/>
      <c r="Q33" s="24">
        <v>2050</v>
      </c>
      <c r="R33" s="24" t="s">
        <v>456</v>
      </c>
      <c r="S33" s="24" t="s">
        <v>475</v>
      </c>
      <c r="T33" s="24"/>
      <c r="U33" s="189">
        <v>9</v>
      </c>
      <c r="V33" s="24" t="str">
        <f t="shared" si="0"/>
        <v>Mature</v>
      </c>
      <c r="W33" s="24"/>
      <c r="X33" s="23" t="b">
        <v>0</v>
      </c>
      <c r="Y33" s="24">
        <v>0.85</v>
      </c>
      <c r="Z33" s="24"/>
      <c r="AA33" s="24" t="s">
        <v>555</v>
      </c>
      <c r="AB33" s="24" t="s">
        <v>264</v>
      </c>
      <c r="AC33" s="184"/>
      <c r="AD33" s="24"/>
      <c r="AE33" s="184">
        <v>1</v>
      </c>
      <c r="AF33" s="24" t="s">
        <v>1351</v>
      </c>
      <c r="AG33" s="24" t="s">
        <v>437</v>
      </c>
      <c r="AH33" s="24" t="s">
        <v>437</v>
      </c>
      <c r="AI33" s="24" t="s">
        <v>437</v>
      </c>
      <c r="AJ33" s="184">
        <v>0.85</v>
      </c>
      <c r="AK33" s="184">
        <v>0.85</v>
      </c>
      <c r="AL33" s="24" t="s">
        <v>1351</v>
      </c>
      <c r="AM33" s="184"/>
      <c r="AN33" s="18"/>
      <c r="AO33" s="165" t="s">
        <v>264</v>
      </c>
      <c r="AP33" s="24">
        <v>0</v>
      </c>
      <c r="AQ33" s="24">
        <v>0</v>
      </c>
      <c r="AR33" s="24">
        <v>25</v>
      </c>
      <c r="AS33" s="24">
        <v>0</v>
      </c>
      <c r="AT33" s="171">
        <v>300</v>
      </c>
      <c r="AU33" s="24">
        <v>0</v>
      </c>
      <c r="AV33" s="111">
        <f t="shared" si="1"/>
        <v>3</v>
      </c>
      <c r="AW33" s="24">
        <v>9</v>
      </c>
      <c r="AX33" s="177">
        <v>0</v>
      </c>
      <c r="AY33" s="18"/>
      <c r="AZ33" s="23" t="b">
        <v>0</v>
      </c>
      <c r="BA33" s="24" t="s">
        <v>1533</v>
      </c>
      <c r="BB33" s="349" t="s">
        <v>1581</v>
      </c>
      <c r="BC33" s="349" t="s">
        <v>1081</v>
      </c>
      <c r="BD33" s="350">
        <v>18.382648499999998</v>
      </c>
      <c r="BE33" s="349" t="s">
        <v>1077</v>
      </c>
      <c r="BF33" s="143" t="s">
        <v>264</v>
      </c>
      <c r="BG33" s="143" t="s">
        <v>264</v>
      </c>
      <c r="BH33" s="143" t="s">
        <v>264</v>
      </c>
      <c r="BI33" s="143" t="s">
        <v>264</v>
      </c>
      <c r="BJ33" s="143" t="s">
        <v>264</v>
      </c>
      <c r="BK33" s="18" t="s">
        <v>1595</v>
      </c>
      <c r="BL33" s="18" t="s">
        <v>1459</v>
      </c>
      <c r="BM33" s="95"/>
      <c r="BN33" s="18"/>
      <c r="BO33" s="116" t="s">
        <v>1535</v>
      </c>
    </row>
    <row r="34" spans="1:88" ht="31.2">
      <c r="A34" s="23" t="b">
        <v>0</v>
      </c>
      <c r="B34" s="57" t="s">
        <v>1442</v>
      </c>
      <c r="C34" s="57" t="s">
        <v>1476</v>
      </c>
      <c r="D34" s="23" t="b">
        <v>0</v>
      </c>
      <c r="E34" s="23" t="b">
        <v>0</v>
      </c>
      <c r="F34" s="31" t="s">
        <v>1603</v>
      </c>
      <c r="G34" s="18" t="s">
        <v>1604</v>
      </c>
      <c r="I34" s="18" t="s">
        <v>244</v>
      </c>
      <c r="J34" s="47" t="s">
        <v>655</v>
      </c>
      <c r="K34" s="47" t="s">
        <v>1605</v>
      </c>
      <c r="L34" s="24" t="s">
        <v>262</v>
      </c>
      <c r="M34" s="24" t="s">
        <v>277</v>
      </c>
      <c r="N34" s="24" t="s">
        <v>290</v>
      </c>
      <c r="O34" s="24" t="s">
        <v>304</v>
      </c>
      <c r="P34" s="24">
        <v>5</v>
      </c>
      <c r="Q34" s="24">
        <v>2020</v>
      </c>
      <c r="R34" s="24" t="s">
        <v>456</v>
      </c>
      <c r="S34" s="24" t="s">
        <v>475</v>
      </c>
      <c r="T34" s="24">
        <v>2025</v>
      </c>
      <c r="U34" s="189">
        <v>8</v>
      </c>
      <c r="V34" s="24" t="str">
        <f t="shared" si="0"/>
        <v>Emerging</v>
      </c>
      <c r="W34" s="24" t="s">
        <v>1447</v>
      </c>
      <c r="X34" s="23" t="b">
        <v>1</v>
      </c>
      <c r="Y34" s="24">
        <v>0.78</v>
      </c>
      <c r="Z34" s="24" t="s">
        <v>1606</v>
      </c>
      <c r="AA34" s="24" t="s">
        <v>1607</v>
      </c>
      <c r="AB34" s="24" t="s">
        <v>396</v>
      </c>
      <c r="AE34" s="24" t="s">
        <v>1608</v>
      </c>
      <c r="AF34" s="24" t="s">
        <v>1482</v>
      </c>
      <c r="AG34" s="24" t="s">
        <v>1609</v>
      </c>
      <c r="AH34" s="24" t="s">
        <v>1610</v>
      </c>
      <c r="AI34" s="18" t="s">
        <v>364</v>
      </c>
      <c r="AJ34" s="18" t="s">
        <v>1611</v>
      </c>
      <c r="AK34" s="18" t="s">
        <v>1612</v>
      </c>
      <c r="AL34" s="18" t="s">
        <v>1613</v>
      </c>
      <c r="AM34" s="165">
        <v>0.83</v>
      </c>
      <c r="AN34" s="24">
        <v>300</v>
      </c>
      <c r="AO34" s="194">
        <v>0.83</v>
      </c>
      <c r="AQ34" s="24">
        <v>0</v>
      </c>
      <c r="AR34" s="24">
        <v>25</v>
      </c>
      <c r="AS34" s="24">
        <v>0</v>
      </c>
      <c r="AT34" s="171">
        <v>960</v>
      </c>
      <c r="AU34" s="24">
        <v>0</v>
      </c>
      <c r="AV34" s="24">
        <v>4</v>
      </c>
      <c r="AW34" s="24">
        <f>AT34*AV34%</f>
        <v>38.4</v>
      </c>
      <c r="AX34" s="179">
        <v>0</v>
      </c>
      <c r="AZ34" s="23" t="b">
        <v>0</v>
      </c>
      <c r="BA34" s="24" t="s">
        <v>1456</v>
      </c>
      <c r="BB34" s="349" t="s">
        <v>1614</v>
      </c>
      <c r="BC34" s="349" t="s">
        <v>1089</v>
      </c>
      <c r="BD34" s="350">
        <v>4.02712E-2</v>
      </c>
      <c r="BE34" s="349" t="s">
        <v>1074</v>
      </c>
      <c r="BF34" s="18" t="s">
        <v>1615</v>
      </c>
      <c r="BG34" s="18" t="s">
        <v>2363</v>
      </c>
      <c r="BH34" s="18">
        <v>0.12570000000000001</v>
      </c>
      <c r="BI34" s="18">
        <v>5.8999999999999999E-3</v>
      </c>
      <c r="BJ34" s="18" t="s">
        <v>1474</v>
      </c>
      <c r="BK34" s="157" t="s">
        <v>1616</v>
      </c>
      <c r="BL34" s="18" t="s">
        <v>1459</v>
      </c>
      <c r="BM34" s="114" t="s">
        <v>1468</v>
      </c>
      <c r="BN34" s="114"/>
      <c r="BO34" s="118" t="s">
        <v>1617</v>
      </c>
      <c r="BP34" s="18">
        <v>1400</v>
      </c>
      <c r="BQ34" s="141">
        <f>BP34/AT34-1</f>
        <v>0.45833333333333326</v>
      </c>
      <c r="BR34" s="18">
        <v>135</v>
      </c>
      <c r="BS34" s="141">
        <f>BR34/AW34-1</f>
        <v>2.515625</v>
      </c>
      <c r="BX34" s="18">
        <v>15</v>
      </c>
    </row>
    <row r="35" spans="1:88" ht="31.2">
      <c r="A35" s="23" t="b">
        <v>0</v>
      </c>
      <c r="B35" s="57" t="s">
        <v>1442</v>
      </c>
      <c r="C35" s="57" t="s">
        <v>1476</v>
      </c>
      <c r="D35" s="23" t="b">
        <v>0</v>
      </c>
      <c r="E35" s="23" t="b">
        <v>0</v>
      </c>
      <c r="F35" s="31" t="s">
        <v>1618</v>
      </c>
      <c r="G35" s="18" t="s">
        <v>1619</v>
      </c>
      <c r="I35" s="18" t="s">
        <v>244</v>
      </c>
      <c r="J35" s="47" t="s">
        <v>655</v>
      </c>
      <c r="K35" s="47" t="s">
        <v>1605</v>
      </c>
      <c r="L35" s="24" t="s">
        <v>262</v>
      </c>
      <c r="M35" s="24" t="s">
        <v>277</v>
      </c>
      <c r="N35" s="24" t="s">
        <v>290</v>
      </c>
      <c r="O35" s="24" t="s">
        <v>304</v>
      </c>
      <c r="P35" s="24">
        <v>5</v>
      </c>
      <c r="Q35" s="24">
        <v>2030</v>
      </c>
      <c r="R35" s="24" t="s">
        <v>456</v>
      </c>
      <c r="S35" s="24" t="s">
        <v>475</v>
      </c>
      <c r="T35" s="24">
        <v>2025</v>
      </c>
      <c r="U35" s="189">
        <v>8</v>
      </c>
      <c r="V35" s="24" t="str">
        <f t="shared" si="0"/>
        <v>Emerging</v>
      </c>
      <c r="W35" s="24" t="s">
        <v>1447</v>
      </c>
      <c r="X35" s="23" t="b">
        <v>1</v>
      </c>
      <c r="Y35" s="24">
        <v>0.78</v>
      </c>
      <c r="Z35" s="24" t="s">
        <v>1606</v>
      </c>
      <c r="AA35" s="24" t="s">
        <v>1607</v>
      </c>
      <c r="AB35" s="24" t="s">
        <v>396</v>
      </c>
      <c r="AE35" s="24" t="s">
        <v>1608</v>
      </c>
      <c r="AF35" s="24" t="s">
        <v>1482</v>
      </c>
      <c r="AG35" s="24" t="s">
        <v>1609</v>
      </c>
      <c r="AH35" s="24" t="s">
        <v>1610</v>
      </c>
      <c r="AI35" s="18" t="s">
        <v>364</v>
      </c>
      <c r="AJ35" s="18" t="s">
        <v>1611</v>
      </c>
      <c r="AK35" s="18" t="s">
        <v>1612</v>
      </c>
      <c r="AL35" s="18" t="s">
        <v>1613</v>
      </c>
      <c r="AM35" s="165">
        <v>0.83</v>
      </c>
      <c r="AN35" s="24">
        <v>300</v>
      </c>
      <c r="AO35" s="194">
        <v>0.83</v>
      </c>
      <c r="AQ35" s="24">
        <v>0</v>
      </c>
      <c r="AR35" s="24">
        <v>25</v>
      </c>
      <c r="AS35" s="24">
        <v>0</v>
      </c>
      <c r="AT35" s="171">
        <v>750</v>
      </c>
      <c r="AU35" s="24">
        <v>0</v>
      </c>
      <c r="AV35" s="24">
        <v>4</v>
      </c>
      <c r="AW35" s="24">
        <f>AT35*AV35%</f>
        <v>30</v>
      </c>
      <c r="AX35" s="179">
        <v>0</v>
      </c>
      <c r="AZ35" s="23" t="b">
        <v>0</v>
      </c>
      <c r="BA35" s="24" t="s">
        <v>1456</v>
      </c>
      <c r="BB35" s="349" t="s">
        <v>1614</v>
      </c>
      <c r="BC35" s="349" t="s">
        <v>1089</v>
      </c>
      <c r="BD35" s="350">
        <v>3.0885900000000001E-2</v>
      </c>
      <c r="BE35" s="349" t="s">
        <v>1075</v>
      </c>
      <c r="BF35" s="18" t="s">
        <v>1615</v>
      </c>
      <c r="BG35" s="18" t="s">
        <v>2363</v>
      </c>
      <c r="BH35" s="18">
        <v>0.12570000000000001</v>
      </c>
      <c r="BI35" s="18">
        <v>5.8999999999999999E-3</v>
      </c>
      <c r="BJ35" s="18" t="s">
        <v>1474</v>
      </c>
      <c r="BK35" s="157" t="s">
        <v>1620</v>
      </c>
      <c r="BL35" s="18" t="s">
        <v>1459</v>
      </c>
      <c r="BM35" s="114" t="s">
        <v>1468</v>
      </c>
      <c r="BN35" s="114"/>
      <c r="BO35" s="118" t="s">
        <v>1617</v>
      </c>
      <c r="BP35" s="18">
        <v>1400</v>
      </c>
      <c r="BQ35" s="141">
        <f>BP35/AT35-1</f>
        <v>0.8666666666666667</v>
      </c>
      <c r="BR35" s="18">
        <v>135</v>
      </c>
      <c r="BS35" s="141">
        <f>BR35/AW35-1</f>
        <v>3.5</v>
      </c>
      <c r="BX35" s="18">
        <v>15</v>
      </c>
    </row>
    <row r="36" spans="1:88" ht="31.2">
      <c r="A36" s="23" t="b">
        <v>0</v>
      </c>
      <c r="B36" s="57" t="s">
        <v>1442</v>
      </c>
      <c r="C36" s="57" t="s">
        <v>1476</v>
      </c>
      <c r="D36" s="23" t="b">
        <v>0</v>
      </c>
      <c r="E36" s="23" t="b">
        <v>0</v>
      </c>
      <c r="F36" s="31" t="s">
        <v>1621</v>
      </c>
      <c r="G36" s="18" t="s">
        <v>1622</v>
      </c>
      <c r="I36" s="18" t="s">
        <v>244</v>
      </c>
      <c r="J36" s="47" t="s">
        <v>655</v>
      </c>
      <c r="K36" s="47" t="s">
        <v>1605</v>
      </c>
      <c r="L36" s="24" t="s">
        <v>262</v>
      </c>
      <c r="M36" s="24" t="s">
        <v>277</v>
      </c>
      <c r="N36" s="24" t="s">
        <v>290</v>
      </c>
      <c r="O36" s="24" t="s">
        <v>304</v>
      </c>
      <c r="P36" s="24">
        <v>50</v>
      </c>
      <c r="Q36" s="24">
        <v>2040</v>
      </c>
      <c r="R36" s="24" t="s">
        <v>456</v>
      </c>
      <c r="S36" s="24" t="s">
        <v>475</v>
      </c>
      <c r="T36" s="24">
        <v>2025</v>
      </c>
      <c r="U36" s="189">
        <v>8</v>
      </c>
      <c r="V36" s="24" t="str">
        <f t="shared" si="0"/>
        <v>Emerging</v>
      </c>
      <c r="W36" s="24" t="s">
        <v>1447</v>
      </c>
      <c r="X36" s="23" t="b">
        <v>1</v>
      </c>
      <c r="Y36" s="24">
        <v>0.78</v>
      </c>
      <c r="Z36" s="24" t="s">
        <v>1606</v>
      </c>
      <c r="AA36" s="24" t="s">
        <v>1607</v>
      </c>
      <c r="AB36" s="24" t="s">
        <v>396</v>
      </c>
      <c r="AE36" s="24" t="s">
        <v>1608</v>
      </c>
      <c r="AF36" s="24" t="s">
        <v>1482</v>
      </c>
      <c r="AG36" s="24" t="s">
        <v>1609</v>
      </c>
      <c r="AH36" s="24" t="s">
        <v>1610</v>
      </c>
      <c r="AI36" s="18" t="s">
        <v>364</v>
      </c>
      <c r="AJ36" s="18" t="s">
        <v>1611</v>
      </c>
      <c r="AK36" s="18" t="s">
        <v>1612</v>
      </c>
      <c r="AL36" s="18" t="s">
        <v>1613</v>
      </c>
      <c r="AM36" s="165">
        <v>0.83</v>
      </c>
      <c r="AN36" s="24">
        <v>300</v>
      </c>
      <c r="AO36" s="194">
        <v>0.83</v>
      </c>
      <c r="AQ36" s="24">
        <v>0</v>
      </c>
      <c r="AR36" s="24">
        <v>25</v>
      </c>
      <c r="AS36" s="24">
        <v>0</v>
      </c>
      <c r="AT36" s="171">
        <v>560</v>
      </c>
      <c r="AU36" s="24">
        <v>0</v>
      </c>
      <c r="AV36" s="24">
        <v>4</v>
      </c>
      <c r="AW36" s="111">
        <f>AT36*AV36%</f>
        <v>22.400000000000002</v>
      </c>
      <c r="AX36" s="179">
        <v>0</v>
      </c>
      <c r="AZ36" s="23" t="b">
        <v>0</v>
      </c>
      <c r="BA36" s="24" t="s">
        <v>1456</v>
      </c>
      <c r="BB36" s="349" t="s">
        <v>1614</v>
      </c>
      <c r="BC36" s="349" t="s">
        <v>1089</v>
      </c>
      <c r="BD36" s="350">
        <v>2.0786499999999999E-2</v>
      </c>
      <c r="BE36" s="349" t="s">
        <v>1076</v>
      </c>
      <c r="BF36" s="18" t="s">
        <v>1615</v>
      </c>
      <c r="BG36" s="18" t="s">
        <v>2363</v>
      </c>
      <c r="BH36" s="18">
        <v>0.12570000000000001</v>
      </c>
      <c r="BI36" s="18">
        <v>5.8999999999999999E-3</v>
      </c>
      <c r="BJ36" s="18" t="s">
        <v>1474</v>
      </c>
      <c r="BK36" s="157" t="s">
        <v>1620</v>
      </c>
      <c r="BL36" s="18" t="s">
        <v>1459</v>
      </c>
      <c r="BM36" s="114" t="s">
        <v>1468</v>
      </c>
      <c r="BN36" s="114"/>
      <c r="BO36" s="118" t="s">
        <v>1617</v>
      </c>
      <c r="BP36" s="18">
        <v>1400</v>
      </c>
      <c r="BQ36" s="141">
        <f>BP36/AT36-1</f>
        <v>1.5</v>
      </c>
      <c r="BR36" s="18">
        <v>135</v>
      </c>
      <c r="BS36" s="141">
        <f>BR36/AW36-1</f>
        <v>5.0267857142857135</v>
      </c>
      <c r="BX36" s="18">
        <v>15</v>
      </c>
    </row>
    <row r="37" spans="1:88" ht="31.2">
      <c r="A37" s="23" t="b">
        <v>0</v>
      </c>
      <c r="B37" s="57" t="s">
        <v>1442</v>
      </c>
      <c r="C37" s="57" t="s">
        <v>1476</v>
      </c>
      <c r="D37" s="23" t="b">
        <v>0</v>
      </c>
      <c r="E37" s="23" t="b">
        <v>0</v>
      </c>
      <c r="F37" s="31" t="s">
        <v>1623</v>
      </c>
      <c r="G37" s="18" t="s">
        <v>1624</v>
      </c>
      <c r="I37" s="18" t="s">
        <v>244</v>
      </c>
      <c r="J37" s="47" t="s">
        <v>655</v>
      </c>
      <c r="K37" s="47" t="s">
        <v>1605</v>
      </c>
      <c r="L37" s="24" t="s">
        <v>262</v>
      </c>
      <c r="M37" s="24" t="s">
        <v>277</v>
      </c>
      <c r="N37" s="24" t="s">
        <v>290</v>
      </c>
      <c r="O37" s="24" t="s">
        <v>304</v>
      </c>
      <c r="P37" s="24">
        <v>100</v>
      </c>
      <c r="Q37" s="24">
        <v>2050</v>
      </c>
      <c r="R37" s="24" t="s">
        <v>456</v>
      </c>
      <c r="S37" s="24" t="s">
        <v>475</v>
      </c>
      <c r="T37" s="24">
        <v>2025</v>
      </c>
      <c r="U37" s="189">
        <v>8</v>
      </c>
      <c r="V37" s="24" t="str">
        <f t="shared" si="0"/>
        <v>Emerging</v>
      </c>
      <c r="W37" s="24" t="s">
        <v>1447</v>
      </c>
      <c r="X37" s="23" t="b">
        <v>1</v>
      </c>
      <c r="Y37" s="24">
        <v>0.78</v>
      </c>
      <c r="Z37" s="24" t="s">
        <v>1606</v>
      </c>
      <c r="AA37" s="24" t="s">
        <v>1607</v>
      </c>
      <c r="AB37" s="24" t="s">
        <v>396</v>
      </c>
      <c r="AE37" s="24" t="s">
        <v>1608</v>
      </c>
      <c r="AF37" s="24" t="s">
        <v>1482</v>
      </c>
      <c r="AG37" s="24" t="s">
        <v>1609</v>
      </c>
      <c r="AH37" s="24" t="s">
        <v>1610</v>
      </c>
      <c r="AI37" s="18" t="s">
        <v>364</v>
      </c>
      <c r="AJ37" s="18" t="s">
        <v>1611</v>
      </c>
      <c r="AK37" s="18" t="s">
        <v>1612</v>
      </c>
      <c r="AL37" s="18" t="s">
        <v>1613</v>
      </c>
      <c r="AM37" s="165">
        <v>0.83</v>
      </c>
      <c r="AN37" s="24">
        <v>300</v>
      </c>
      <c r="AO37" s="194">
        <v>0.83</v>
      </c>
      <c r="AQ37" s="24">
        <v>0</v>
      </c>
      <c r="AR37" s="24">
        <v>25</v>
      </c>
      <c r="AS37" s="24">
        <v>0</v>
      </c>
      <c r="AT37" s="171">
        <v>450</v>
      </c>
      <c r="AU37" s="24">
        <v>0</v>
      </c>
      <c r="AV37" s="24">
        <v>4</v>
      </c>
      <c r="AW37" s="24">
        <f>AT37*AV37%</f>
        <v>18</v>
      </c>
      <c r="AX37" s="179">
        <v>0</v>
      </c>
      <c r="AZ37" s="23" t="b">
        <v>0</v>
      </c>
      <c r="BA37" s="24" t="s">
        <v>1456</v>
      </c>
      <c r="BB37" s="349" t="s">
        <v>1614</v>
      </c>
      <c r="BC37" s="349" t="s">
        <v>1089</v>
      </c>
      <c r="BD37" s="350">
        <v>1.6119600000000001E-2</v>
      </c>
      <c r="BE37" s="349" t="s">
        <v>1077</v>
      </c>
      <c r="BF37" s="18" t="s">
        <v>1615</v>
      </c>
      <c r="BG37" s="18" t="s">
        <v>2363</v>
      </c>
      <c r="BH37" s="18">
        <v>0.12570000000000001</v>
      </c>
      <c r="BI37" s="18">
        <v>5.8999999999999999E-3</v>
      </c>
      <c r="BJ37" s="18" t="s">
        <v>1474</v>
      </c>
      <c r="BK37" s="157" t="s">
        <v>1620</v>
      </c>
      <c r="BL37" s="18" t="s">
        <v>1459</v>
      </c>
      <c r="BM37" s="114" t="s">
        <v>1468</v>
      </c>
      <c r="BN37" s="114"/>
      <c r="BO37" s="118" t="s">
        <v>1617</v>
      </c>
      <c r="BP37" s="18">
        <v>1400</v>
      </c>
      <c r="BQ37" s="141">
        <f>BP37/AT37-1</f>
        <v>2.1111111111111112</v>
      </c>
      <c r="BR37" s="18">
        <v>135</v>
      </c>
      <c r="BS37" s="141">
        <f>BR37/AW37-1</f>
        <v>6.5</v>
      </c>
      <c r="BX37" s="18">
        <v>15</v>
      </c>
    </row>
    <row r="38" spans="1:88" ht="31.2">
      <c r="A38" s="23" t="b">
        <v>0</v>
      </c>
      <c r="B38" s="57" t="s">
        <v>1336</v>
      </c>
      <c r="C38" s="57"/>
      <c r="D38" s="23" t="b">
        <v>0</v>
      </c>
      <c r="E38" s="23" t="b">
        <v>0</v>
      </c>
      <c r="F38" s="31" t="s">
        <v>1625</v>
      </c>
      <c r="G38" s="18" t="s">
        <v>1626</v>
      </c>
      <c r="I38" s="18" t="s">
        <v>236</v>
      </c>
      <c r="J38" s="47" t="s">
        <v>1627</v>
      </c>
      <c r="K38" t="s">
        <v>734</v>
      </c>
      <c r="M38" s="24"/>
      <c r="N38" s="24"/>
      <c r="O38" s="24" t="s">
        <v>304</v>
      </c>
      <c r="P38" s="24"/>
      <c r="Q38" s="24">
        <v>2030</v>
      </c>
      <c r="R38" s="24" t="s">
        <v>456</v>
      </c>
      <c r="S38" s="24" t="s">
        <v>475</v>
      </c>
      <c r="U38" s="189">
        <v>9</v>
      </c>
      <c r="V38" s="24" t="str">
        <f t="shared" si="0"/>
        <v>Mature</v>
      </c>
      <c r="X38" s="23" t="b">
        <v>0</v>
      </c>
      <c r="Y38" s="24">
        <v>0.42</v>
      </c>
      <c r="AA38" s="24" t="s">
        <v>555</v>
      </c>
      <c r="AB38" s="18" t="s">
        <v>264</v>
      </c>
      <c r="AE38" s="184">
        <v>1</v>
      </c>
      <c r="AF38" s="18" t="s">
        <v>1351</v>
      </c>
      <c r="AG38" s="24" t="s">
        <v>346</v>
      </c>
      <c r="AH38" s="24" t="s">
        <v>346</v>
      </c>
      <c r="AI38" s="24" t="s">
        <v>346</v>
      </c>
      <c r="AJ38" s="184" t="s">
        <v>1628</v>
      </c>
      <c r="AK38" s="184" t="s">
        <v>1628</v>
      </c>
      <c r="AL38" s="18" t="s">
        <v>1351</v>
      </c>
      <c r="AO38" s="194" t="s">
        <v>264</v>
      </c>
      <c r="AP38" s="24">
        <v>1500</v>
      </c>
      <c r="AQ38" s="24">
        <v>100000</v>
      </c>
      <c r="AR38" s="24">
        <v>23</v>
      </c>
      <c r="AS38" s="24">
        <v>0</v>
      </c>
      <c r="AT38" s="166">
        <v>489</v>
      </c>
      <c r="AU38" s="24">
        <v>0</v>
      </c>
      <c r="AV38" s="111">
        <f>+AW38/AT38%</f>
        <v>4.294478527607362</v>
      </c>
      <c r="AW38" s="24">
        <v>21</v>
      </c>
      <c r="AX38" s="177">
        <v>2E-3</v>
      </c>
      <c r="AZ38" s="23" t="b">
        <v>0</v>
      </c>
      <c r="BA38" s="24" t="s">
        <v>1533</v>
      </c>
      <c r="BB38" s="349" t="s">
        <v>1491</v>
      </c>
      <c r="BC38" s="349" t="s">
        <v>1081</v>
      </c>
      <c r="BD38" s="350">
        <v>62.633809399999997</v>
      </c>
      <c r="BE38" s="349" t="s">
        <v>1077</v>
      </c>
      <c r="BF38" s="143" t="s">
        <v>264</v>
      </c>
      <c r="BG38" s="143" t="s">
        <v>264</v>
      </c>
      <c r="BH38" s="143">
        <v>0.06</v>
      </c>
      <c r="BI38" s="143">
        <v>0</v>
      </c>
      <c r="BJ38" s="143" t="s">
        <v>1474</v>
      </c>
      <c r="BK38" s="18" t="s">
        <v>1542</v>
      </c>
      <c r="BL38" s="18" t="s">
        <v>1459</v>
      </c>
      <c r="BM38" s="114"/>
      <c r="BO38" s="115" t="s">
        <v>1629</v>
      </c>
      <c r="BX38" s="18">
        <v>30</v>
      </c>
    </row>
    <row r="39" spans="1:88" s="124" customFormat="1" ht="25.8">
      <c r="A39" s="204" t="b">
        <v>0</v>
      </c>
      <c r="B39" s="150" t="s">
        <v>264</v>
      </c>
      <c r="C39" s="150"/>
      <c r="D39" s="204" t="b">
        <v>0</v>
      </c>
      <c r="E39" s="204" t="b">
        <v>0</v>
      </c>
      <c r="F39" s="206" t="s">
        <v>769</v>
      </c>
      <c r="G39" s="159" t="s">
        <v>768</v>
      </c>
      <c r="H39" s="206"/>
      <c r="I39" s="159"/>
      <c r="J39" s="207" t="s">
        <v>684</v>
      </c>
      <c r="K39" s="207" t="s">
        <v>771</v>
      </c>
      <c r="L39" s="150"/>
      <c r="M39" s="150"/>
      <c r="N39" s="150"/>
      <c r="O39" s="150" t="s">
        <v>304</v>
      </c>
      <c r="P39" s="150"/>
      <c r="Q39" s="150"/>
      <c r="R39" s="150" t="s">
        <v>456</v>
      </c>
      <c r="S39" s="150" t="s">
        <v>475</v>
      </c>
      <c r="T39" s="150"/>
      <c r="U39" s="208"/>
      <c r="V39" s="150" t="str">
        <f t="shared" si="0"/>
        <v/>
      </c>
      <c r="W39" s="150"/>
      <c r="X39" s="204" t="b">
        <v>0</v>
      </c>
      <c r="Y39" s="150"/>
      <c r="Z39" s="150"/>
      <c r="AA39" s="150" t="s">
        <v>417</v>
      </c>
      <c r="AB39" s="150" t="s">
        <v>264</v>
      </c>
      <c r="AC39" s="209"/>
      <c r="AD39" s="150"/>
      <c r="AE39" s="209">
        <v>1</v>
      </c>
      <c r="AF39" s="150" t="s">
        <v>1351</v>
      </c>
      <c r="AG39" s="150" t="s">
        <v>417</v>
      </c>
      <c r="AH39" s="150" t="s">
        <v>417</v>
      </c>
      <c r="AI39" s="150" t="s">
        <v>417</v>
      </c>
      <c r="AJ39" s="209">
        <v>0</v>
      </c>
      <c r="AK39" s="209">
        <v>0</v>
      </c>
      <c r="AL39" s="150" t="s">
        <v>1451</v>
      </c>
      <c r="AM39" s="209"/>
      <c r="AN39" s="159"/>
      <c r="AO39" s="220" t="s">
        <v>264</v>
      </c>
      <c r="AP39" s="150">
        <v>0</v>
      </c>
      <c r="AQ39" s="150">
        <v>0</v>
      </c>
      <c r="AR39" s="150">
        <v>25</v>
      </c>
      <c r="AS39" s="150">
        <v>0</v>
      </c>
      <c r="AT39" s="246">
        <v>1240</v>
      </c>
      <c r="AU39" s="150">
        <v>0</v>
      </c>
      <c r="AV39" s="214">
        <v>2.5</v>
      </c>
      <c r="AW39" s="150">
        <f>+AV39*AT39%</f>
        <v>31</v>
      </c>
      <c r="AX39" s="226">
        <v>1E-3</v>
      </c>
      <c r="AY39" s="159"/>
      <c r="AZ39" s="204" t="b">
        <v>0</v>
      </c>
      <c r="BA39" s="150"/>
      <c r="BB39" s="353" t="s">
        <v>706</v>
      </c>
      <c r="BC39" s="353" t="s">
        <v>706</v>
      </c>
      <c r="BD39" s="354" t="s">
        <v>706</v>
      </c>
      <c r="BE39" s="353" t="s">
        <v>706</v>
      </c>
      <c r="BF39" s="159" t="s">
        <v>264</v>
      </c>
      <c r="BG39" s="159" t="s">
        <v>264</v>
      </c>
      <c r="BH39" s="159" t="s">
        <v>264</v>
      </c>
      <c r="BI39" s="159" t="s">
        <v>264</v>
      </c>
      <c r="BJ39" s="159" t="s">
        <v>264</v>
      </c>
      <c r="BK39" s="160" t="s">
        <v>1630</v>
      </c>
      <c r="BL39" s="159" t="s">
        <v>1512</v>
      </c>
      <c r="BM39" s="159"/>
      <c r="BN39" s="159"/>
      <c r="BO39" s="137" t="s">
        <v>1464</v>
      </c>
      <c r="BT39" s="124">
        <v>3000</v>
      </c>
      <c r="BU39" s="142">
        <f>BT39/AT39-1</f>
        <v>1.4193548387096775</v>
      </c>
      <c r="BV39" s="124">
        <v>45</v>
      </c>
      <c r="BW39" s="142">
        <f>BV39/AW39-1</f>
        <v>0.45161290322580649</v>
      </c>
      <c r="BX39" s="124">
        <v>45</v>
      </c>
      <c r="BY39" s="141">
        <f>BX39/AR39-1</f>
        <v>0.8</v>
      </c>
      <c r="CC39" s="18"/>
      <c r="CD39" s="18"/>
      <c r="CE39" s="18"/>
      <c r="CI39" s="18"/>
      <c r="CJ39" s="18"/>
    </row>
    <row r="40" spans="1:88" s="124" customFormat="1" ht="31.5" customHeight="1">
      <c r="A40" s="204" t="b">
        <v>0</v>
      </c>
      <c r="B40" s="150" t="s">
        <v>1442</v>
      </c>
      <c r="C40" s="150" t="s">
        <v>1336</v>
      </c>
      <c r="D40" s="204" t="b">
        <v>0</v>
      </c>
      <c r="E40" s="204" t="b">
        <v>0</v>
      </c>
      <c r="F40" s="206" t="s">
        <v>1631</v>
      </c>
      <c r="G40" s="159" t="s">
        <v>1632</v>
      </c>
      <c r="H40" s="206"/>
      <c r="I40" s="159" t="s">
        <v>228</v>
      </c>
      <c r="J40" s="207" t="s">
        <v>763</v>
      </c>
      <c r="K40" s="207" t="s">
        <v>281</v>
      </c>
      <c r="L40" s="150" t="s">
        <v>228</v>
      </c>
      <c r="M40" s="150" t="s">
        <v>281</v>
      </c>
      <c r="N40" s="150"/>
      <c r="O40" s="150" t="s">
        <v>628</v>
      </c>
      <c r="P40" s="150">
        <v>2000</v>
      </c>
      <c r="Q40" s="150">
        <v>2050</v>
      </c>
      <c r="R40" s="150" t="s">
        <v>456</v>
      </c>
      <c r="S40" s="150" t="s">
        <v>475</v>
      </c>
      <c r="T40" s="150">
        <v>2025</v>
      </c>
      <c r="U40" s="208"/>
      <c r="V40" s="150" t="str">
        <f t="shared" si="0"/>
        <v/>
      </c>
      <c r="W40" s="150"/>
      <c r="X40" s="204" t="b">
        <v>0</v>
      </c>
      <c r="Y40" s="150"/>
      <c r="Z40" s="150"/>
      <c r="AA40" s="150" t="s">
        <v>384</v>
      </c>
      <c r="AB40" s="150" t="s">
        <v>384</v>
      </c>
      <c r="AC40" s="209"/>
      <c r="AD40" s="150"/>
      <c r="AE40" s="209">
        <v>1</v>
      </c>
      <c r="AF40" s="150" t="s">
        <v>1451</v>
      </c>
      <c r="AG40" s="150" t="s">
        <v>390</v>
      </c>
      <c r="AH40" s="150" t="s">
        <v>390</v>
      </c>
      <c r="AI40" s="150" t="s">
        <v>390</v>
      </c>
      <c r="AJ40" s="209">
        <v>1</v>
      </c>
      <c r="AK40" s="209">
        <v>1</v>
      </c>
      <c r="AL40" s="150" t="s">
        <v>1451</v>
      </c>
      <c r="AM40" s="209"/>
      <c r="AN40" s="159"/>
      <c r="AO40" s="220" t="s">
        <v>264</v>
      </c>
      <c r="AP40" s="150">
        <v>0</v>
      </c>
      <c r="AQ40" s="150">
        <v>0</v>
      </c>
      <c r="AR40" s="150">
        <v>25</v>
      </c>
      <c r="AS40" s="150">
        <v>0</v>
      </c>
      <c r="AT40" s="246">
        <v>3300</v>
      </c>
      <c r="AU40" s="150">
        <v>0</v>
      </c>
      <c r="AV40" s="214">
        <v>12.045454545454545</v>
      </c>
      <c r="AW40" s="150">
        <v>230</v>
      </c>
      <c r="AX40" s="226">
        <v>0.02</v>
      </c>
      <c r="AY40" s="159"/>
      <c r="AZ40" s="204" t="b">
        <v>0</v>
      </c>
      <c r="BA40" s="150" t="s">
        <v>1497</v>
      </c>
      <c r="BB40" s="353" t="s">
        <v>706</v>
      </c>
      <c r="BC40" s="353" t="s">
        <v>706</v>
      </c>
      <c r="BD40" s="354" t="s">
        <v>706</v>
      </c>
      <c r="BE40" s="353" t="s">
        <v>706</v>
      </c>
      <c r="BF40" s="159" t="s">
        <v>264</v>
      </c>
      <c r="BG40" s="159" t="s">
        <v>264</v>
      </c>
      <c r="BH40" s="159" t="s">
        <v>264</v>
      </c>
      <c r="BI40" s="159" t="s">
        <v>264</v>
      </c>
      <c r="BJ40" s="159" t="s">
        <v>264</v>
      </c>
      <c r="BK40" s="160" t="s">
        <v>1630</v>
      </c>
      <c r="BL40" s="159" t="s">
        <v>1512</v>
      </c>
      <c r="BM40" s="159"/>
      <c r="BN40" s="159"/>
      <c r="BO40" s="207"/>
      <c r="BT40" s="124">
        <v>3000</v>
      </c>
      <c r="BU40" s="142">
        <f>BT40/AT40-1</f>
        <v>-9.0909090909090939E-2</v>
      </c>
      <c r="BV40" s="124">
        <v>45</v>
      </c>
      <c r="BW40" s="142">
        <f>BV40/AW40-1</f>
        <v>-0.80434782608695654</v>
      </c>
      <c r="BX40" s="124">
        <v>45</v>
      </c>
      <c r="BY40" s="141">
        <f>BX40/AR40-1</f>
        <v>0.8</v>
      </c>
      <c r="CC40" s="18"/>
      <c r="CD40" s="18"/>
      <c r="CE40" s="18"/>
      <c r="CI40" s="18"/>
      <c r="CJ40" s="18"/>
    </row>
    <row r="41" spans="1:88" s="124" customFormat="1" ht="25.8">
      <c r="A41" s="204" t="b">
        <v>0</v>
      </c>
      <c r="B41" s="150" t="s">
        <v>1633</v>
      </c>
      <c r="C41" s="150" t="s">
        <v>1442</v>
      </c>
      <c r="D41" s="204" t="b">
        <v>0</v>
      </c>
      <c r="E41" s="204" t="b">
        <v>0</v>
      </c>
      <c r="F41" s="206" t="s">
        <v>766</v>
      </c>
      <c r="G41" s="159" t="s">
        <v>765</v>
      </c>
      <c r="H41" s="206"/>
      <c r="I41" s="159" t="s">
        <v>228</v>
      </c>
      <c r="J41" s="207" t="s">
        <v>677</v>
      </c>
      <c r="K41" s="150" t="s">
        <v>228</v>
      </c>
      <c r="L41" s="150" t="s">
        <v>228</v>
      </c>
      <c r="M41" s="150" t="s">
        <v>279</v>
      </c>
      <c r="N41" s="150"/>
      <c r="O41" s="150" t="s">
        <v>628</v>
      </c>
      <c r="P41" s="150">
        <v>20</v>
      </c>
      <c r="Q41" s="150"/>
      <c r="R41" s="150" t="s">
        <v>475</v>
      </c>
      <c r="S41" s="150" t="s">
        <v>475</v>
      </c>
      <c r="T41" s="150">
        <v>2025</v>
      </c>
      <c r="U41" s="208"/>
      <c r="V41" s="150" t="str">
        <f t="shared" si="0"/>
        <v/>
      </c>
      <c r="W41" s="204" t="b">
        <v>0</v>
      </c>
      <c r="X41" s="150"/>
      <c r="Y41" s="150"/>
      <c r="Z41" s="150"/>
      <c r="AA41" s="150"/>
      <c r="AB41" s="150" t="s">
        <v>264</v>
      </c>
      <c r="AC41" s="209"/>
      <c r="AD41" s="150"/>
      <c r="AE41" s="150" t="s">
        <v>264</v>
      </c>
      <c r="AF41" s="150" t="s">
        <v>264</v>
      </c>
      <c r="AG41" s="159"/>
      <c r="AH41" s="159"/>
      <c r="AI41" s="150" t="s">
        <v>264</v>
      </c>
      <c r="AJ41" s="150" t="s">
        <v>264</v>
      </c>
      <c r="AK41" s="150" t="s">
        <v>264</v>
      </c>
      <c r="AL41" s="150" t="s">
        <v>264</v>
      </c>
      <c r="AM41" s="209"/>
      <c r="AN41" s="150"/>
      <c r="AO41" s="220" t="s">
        <v>264</v>
      </c>
      <c r="AP41" s="150"/>
      <c r="AQ41" s="150"/>
      <c r="AR41" s="150"/>
      <c r="AS41" s="222"/>
      <c r="AT41" s="150"/>
      <c r="AU41" s="150"/>
      <c r="AV41" s="214" t="e">
        <f>+AW41/AT41%</f>
        <v>#DIV/0!</v>
      </c>
      <c r="AW41" s="244"/>
      <c r="AX41" s="245"/>
      <c r="AY41" s="204" t="b">
        <v>0</v>
      </c>
      <c r="AZ41" s="150" t="s">
        <v>1533</v>
      </c>
      <c r="BA41" s="159"/>
      <c r="BB41" s="353" t="s">
        <v>706</v>
      </c>
      <c r="BC41" s="353" t="s">
        <v>706</v>
      </c>
      <c r="BD41" s="354" t="s">
        <v>706</v>
      </c>
      <c r="BE41" s="353" t="s">
        <v>706</v>
      </c>
      <c r="BF41" s="159" t="str">
        <f>IF(AE41="na","na","needs value")</f>
        <v>na</v>
      </c>
      <c r="BG41" s="159" t="str">
        <f>IF(AF41="na","na","needs value")</f>
        <v>na</v>
      </c>
      <c r="BH41" s="159" t="s">
        <v>264</v>
      </c>
      <c r="BI41" s="159" t="s">
        <v>264</v>
      </c>
      <c r="BJ41" s="159" t="s">
        <v>264</v>
      </c>
      <c r="BK41" s="160" t="s">
        <v>1634</v>
      </c>
      <c r="BL41" s="159" t="s">
        <v>1512</v>
      </c>
      <c r="BM41" s="159"/>
      <c r="BN41" s="207"/>
      <c r="BO41" s="137" t="s">
        <v>1464</v>
      </c>
      <c r="BT41" s="124">
        <v>3000</v>
      </c>
      <c r="BU41" s="142" t="e">
        <f>BT41/AT41-1</f>
        <v>#DIV/0!</v>
      </c>
      <c r="BV41" s="124">
        <v>45</v>
      </c>
      <c r="BW41" s="142" t="e">
        <f>BV41/AW41-1</f>
        <v>#DIV/0!</v>
      </c>
      <c r="BX41" s="124">
        <v>45</v>
      </c>
      <c r="BY41" s="141" t="e">
        <f>BX41/AR41-1</f>
        <v>#DIV/0!</v>
      </c>
      <c r="CC41" s="18"/>
      <c r="CD41" s="18"/>
      <c r="CE41" s="18"/>
      <c r="CI41" s="18"/>
      <c r="CJ41" s="18"/>
    </row>
    <row r="42" spans="1:88" ht="25.8">
      <c r="A42" s="204" t="b">
        <v>0</v>
      </c>
      <c r="B42" s="150" t="s">
        <v>1633</v>
      </c>
      <c r="C42" s="150" t="s">
        <v>1442</v>
      </c>
      <c r="D42" s="204" t="b">
        <v>0</v>
      </c>
      <c r="E42" s="204" t="b">
        <v>0</v>
      </c>
      <c r="F42" s="206" t="s">
        <v>766</v>
      </c>
      <c r="G42" s="159" t="s">
        <v>765</v>
      </c>
      <c r="H42" s="206"/>
      <c r="I42" s="159" t="s">
        <v>228</v>
      </c>
      <c r="J42" s="207" t="s">
        <v>677</v>
      </c>
      <c r="K42" s="150" t="s">
        <v>228</v>
      </c>
      <c r="L42" s="150" t="s">
        <v>228</v>
      </c>
      <c r="M42" s="150" t="s">
        <v>279</v>
      </c>
      <c r="N42" s="150"/>
      <c r="O42" s="150" t="s">
        <v>628</v>
      </c>
      <c r="P42" s="150">
        <v>20</v>
      </c>
      <c r="Q42" s="150"/>
      <c r="R42" s="150" t="s">
        <v>475</v>
      </c>
      <c r="S42" s="150" t="s">
        <v>475</v>
      </c>
      <c r="T42" s="150">
        <v>2025</v>
      </c>
      <c r="U42" s="208"/>
      <c r="V42" s="150" t="str">
        <f t="shared" si="0"/>
        <v/>
      </c>
      <c r="W42" s="204" t="b">
        <v>0</v>
      </c>
      <c r="X42" s="150"/>
      <c r="Y42" s="150"/>
      <c r="Z42" s="150" t="s">
        <v>1635</v>
      </c>
      <c r="AA42" s="150"/>
      <c r="AB42" s="150" t="s">
        <v>264</v>
      </c>
      <c r="AC42" s="209"/>
      <c r="AD42" s="150"/>
      <c r="AE42" s="150" t="s">
        <v>264</v>
      </c>
      <c r="AF42" s="150" t="s">
        <v>264</v>
      </c>
      <c r="AG42" s="159"/>
      <c r="AH42" s="159"/>
      <c r="AI42" s="150" t="s">
        <v>264</v>
      </c>
      <c r="AJ42" s="209" t="s">
        <v>264</v>
      </c>
      <c r="AK42" s="209" t="s">
        <v>264</v>
      </c>
      <c r="AL42" s="150" t="s">
        <v>264</v>
      </c>
      <c r="AM42" s="209"/>
      <c r="AN42" s="159"/>
      <c r="AO42" s="220" t="s">
        <v>264</v>
      </c>
      <c r="AP42" s="150"/>
      <c r="AQ42" s="150"/>
      <c r="AR42" s="150"/>
      <c r="AS42" s="222"/>
      <c r="AT42" s="150"/>
      <c r="AU42" s="150"/>
      <c r="AV42" s="214" t="e">
        <f>+AW42/AT42%</f>
        <v>#DIV/0!</v>
      </c>
      <c r="AW42" s="244"/>
      <c r="AX42" s="245"/>
      <c r="AY42" s="204" t="b">
        <v>0</v>
      </c>
      <c r="AZ42" s="150" t="s">
        <v>1456</v>
      </c>
      <c r="BA42" s="159"/>
      <c r="BB42" s="353" t="s">
        <v>706</v>
      </c>
      <c r="BC42" s="353" t="s">
        <v>706</v>
      </c>
      <c r="BD42" s="354" t="s">
        <v>706</v>
      </c>
      <c r="BE42" s="353" t="s">
        <v>706</v>
      </c>
      <c r="BF42" s="159" t="str">
        <f>IF(AE42="na","na","needs value")</f>
        <v>na</v>
      </c>
      <c r="BG42" s="159" t="str">
        <f>IF(AF42="na","na","needs value")</f>
        <v>na</v>
      </c>
      <c r="BH42" s="159" t="s">
        <v>264</v>
      </c>
      <c r="BI42" s="159" t="s">
        <v>264</v>
      </c>
      <c r="BJ42" s="159" t="s">
        <v>264</v>
      </c>
      <c r="BK42" s="160" t="s">
        <v>1634</v>
      </c>
      <c r="BL42" s="159" t="s">
        <v>1512</v>
      </c>
      <c r="BM42" s="159"/>
      <c r="BN42" s="207"/>
      <c r="BO42" s="137" t="s">
        <v>1464</v>
      </c>
    </row>
    <row r="43" spans="1:88" ht="46.8">
      <c r="A43" s="23" t="b">
        <v>1</v>
      </c>
      <c r="B43" s="57" t="s">
        <v>1469</v>
      </c>
      <c r="C43" s="57" t="s">
        <v>1442</v>
      </c>
      <c r="D43" s="23" t="b">
        <v>0</v>
      </c>
      <c r="E43" s="23" t="b">
        <v>0</v>
      </c>
      <c r="F43" s="31" t="s">
        <v>1078</v>
      </c>
      <c r="G43" s="18" t="s">
        <v>1636</v>
      </c>
      <c r="I43" s="18" t="s">
        <v>231</v>
      </c>
      <c r="K43"/>
      <c r="L43" s="24" t="s">
        <v>257</v>
      </c>
      <c r="M43" s="24" t="s">
        <v>271</v>
      </c>
      <c r="N43" s="24"/>
      <c r="O43" s="24" t="s">
        <v>304</v>
      </c>
      <c r="P43" s="24"/>
      <c r="R43" s="24" t="s">
        <v>456</v>
      </c>
      <c r="S43" s="24" t="s">
        <v>475</v>
      </c>
      <c r="V43" s="24" t="str">
        <f t="shared" si="0"/>
        <v/>
      </c>
      <c r="X43" s="23" t="b">
        <v>0</v>
      </c>
      <c r="AA43" s="24" t="s">
        <v>1637</v>
      </c>
      <c r="AB43" s="25" t="s">
        <v>352</v>
      </c>
      <c r="AE43" s="184" t="s">
        <v>1638</v>
      </c>
      <c r="AF43" s="24" t="s">
        <v>1639</v>
      </c>
      <c r="AG43" s="24" t="s">
        <v>417</v>
      </c>
      <c r="AH43" s="24" t="s">
        <v>417</v>
      </c>
      <c r="AI43" s="24" t="s">
        <v>417</v>
      </c>
      <c r="AJ43" s="184" t="s">
        <v>1640</v>
      </c>
      <c r="AK43" s="184" t="s">
        <v>1640</v>
      </c>
      <c r="AL43" s="24" t="s">
        <v>1451</v>
      </c>
      <c r="AO43" s="165" t="s">
        <v>264</v>
      </c>
      <c r="AP43" s="24">
        <v>0</v>
      </c>
      <c r="AQ43" s="24">
        <v>0</v>
      </c>
      <c r="AR43" s="24">
        <v>30</v>
      </c>
      <c r="AS43" s="24">
        <v>0</v>
      </c>
      <c r="AT43" s="228">
        <v>3400</v>
      </c>
      <c r="AU43" s="24">
        <v>0</v>
      </c>
      <c r="AV43" s="111">
        <f>+AW43/AT43%</f>
        <v>4</v>
      </c>
      <c r="AW43" s="24">
        <v>136</v>
      </c>
      <c r="AX43" s="199">
        <v>0</v>
      </c>
      <c r="AZ43" s="23" t="b">
        <v>0</v>
      </c>
      <c r="BA43" s="24"/>
      <c r="BB43" s="349" t="s">
        <v>1641</v>
      </c>
      <c r="BC43" s="349" t="s">
        <v>1081</v>
      </c>
      <c r="BD43" s="350">
        <v>71.796198700000005</v>
      </c>
      <c r="BE43" s="349" t="s">
        <v>1074</v>
      </c>
      <c r="BF43" s="18" t="s">
        <v>264</v>
      </c>
      <c r="BG43" s="18" t="s">
        <v>264</v>
      </c>
      <c r="BK43" s="57" t="s">
        <v>1506</v>
      </c>
      <c r="BL43" s="18" t="s">
        <v>1459</v>
      </c>
      <c r="BM43" s="105" t="s">
        <v>1642</v>
      </c>
      <c r="BO43" s="140" t="s">
        <v>1643</v>
      </c>
    </row>
    <row r="44" spans="1:88" ht="25.8">
      <c r="A44" s="204" t="b">
        <v>0</v>
      </c>
      <c r="B44" s="150" t="s">
        <v>264</v>
      </c>
      <c r="C44" s="150"/>
      <c r="D44" s="204" t="b">
        <v>0</v>
      </c>
      <c r="E44" s="204" t="b">
        <v>0</v>
      </c>
      <c r="F44" s="206" t="s">
        <v>758</v>
      </c>
      <c r="G44" s="159" t="s">
        <v>757</v>
      </c>
      <c r="H44" s="206"/>
      <c r="I44" s="159"/>
      <c r="J44" s="207" t="s">
        <v>662</v>
      </c>
      <c r="K44" s="147" t="s">
        <v>1545</v>
      </c>
      <c r="L44" s="150" t="s">
        <v>264</v>
      </c>
      <c r="M44" s="150"/>
      <c r="N44" s="150"/>
      <c r="O44" s="150" t="s">
        <v>304</v>
      </c>
      <c r="P44" s="150"/>
      <c r="Q44" s="150" t="s">
        <v>264</v>
      </c>
      <c r="R44" s="150" t="s">
        <v>456</v>
      </c>
      <c r="S44" s="150" t="s">
        <v>475</v>
      </c>
      <c r="T44" s="150"/>
      <c r="U44" s="208"/>
      <c r="V44" s="150" t="str">
        <f t="shared" si="0"/>
        <v/>
      </c>
      <c r="W44" s="150"/>
      <c r="X44" s="204" t="b">
        <v>0</v>
      </c>
      <c r="Y44" s="150"/>
      <c r="Z44" s="150"/>
      <c r="AA44" s="150" t="s">
        <v>384</v>
      </c>
      <c r="AB44" s="150" t="s">
        <v>264</v>
      </c>
      <c r="AC44" s="209"/>
      <c r="AD44" s="150"/>
      <c r="AE44" s="209">
        <v>1</v>
      </c>
      <c r="AF44" s="150" t="s">
        <v>1451</v>
      </c>
      <c r="AG44" s="150" t="s">
        <v>384</v>
      </c>
      <c r="AH44" s="150" t="s">
        <v>384</v>
      </c>
      <c r="AI44" s="150" t="s">
        <v>384</v>
      </c>
      <c r="AJ44" s="209">
        <v>0</v>
      </c>
      <c r="AK44" s="209">
        <v>0</v>
      </c>
      <c r="AL44" s="150" t="s">
        <v>1451</v>
      </c>
      <c r="AM44" s="209"/>
      <c r="AN44" s="159"/>
      <c r="AO44" s="220" t="s">
        <v>264</v>
      </c>
      <c r="AP44" s="150">
        <v>0</v>
      </c>
      <c r="AQ44" s="150">
        <v>0</v>
      </c>
      <c r="AR44" s="150">
        <v>100</v>
      </c>
      <c r="AS44" s="150">
        <v>0</v>
      </c>
      <c r="AT44" s="225">
        <v>1</v>
      </c>
      <c r="AU44" s="150">
        <v>0</v>
      </c>
      <c r="AV44" s="214">
        <f>+AW44/AT44%</f>
        <v>100</v>
      </c>
      <c r="AW44" s="150">
        <v>1</v>
      </c>
      <c r="AX44" s="226">
        <v>1E-3</v>
      </c>
      <c r="AY44" s="159"/>
      <c r="AZ44" s="204" t="b">
        <v>0</v>
      </c>
      <c r="BA44" s="150"/>
      <c r="BB44" s="351" t="s">
        <v>706</v>
      </c>
      <c r="BC44" s="351" t="s">
        <v>706</v>
      </c>
      <c r="BD44" s="352" t="s">
        <v>706</v>
      </c>
      <c r="BE44" s="351" t="s">
        <v>706</v>
      </c>
      <c r="BF44" s="159" t="s">
        <v>264</v>
      </c>
      <c r="BG44" s="159" t="s">
        <v>264</v>
      </c>
      <c r="BH44" s="159" t="s">
        <v>264</v>
      </c>
      <c r="BI44" s="159" t="s">
        <v>264</v>
      </c>
      <c r="BJ44" s="159" t="s">
        <v>264</v>
      </c>
      <c r="BK44" s="160" t="s">
        <v>1644</v>
      </c>
      <c r="BL44" s="159" t="s">
        <v>1512</v>
      </c>
      <c r="BM44" s="159"/>
      <c r="BN44" s="159"/>
      <c r="BO44" s="137" t="s">
        <v>1464</v>
      </c>
    </row>
    <row r="45" spans="1:88" ht="31.2">
      <c r="A45" s="204" t="b">
        <v>0</v>
      </c>
      <c r="B45" s="150" t="s">
        <v>1443</v>
      </c>
      <c r="C45" s="150"/>
      <c r="D45" s="204" t="b">
        <v>0</v>
      </c>
      <c r="E45" s="204" t="b">
        <v>0</v>
      </c>
      <c r="F45" s="206" t="s">
        <v>1645</v>
      </c>
      <c r="G45" s="159" t="s">
        <v>1646</v>
      </c>
      <c r="H45" s="206"/>
      <c r="I45" s="159" t="s">
        <v>233</v>
      </c>
      <c r="J45" s="207" t="s">
        <v>533</v>
      </c>
      <c r="K45" s="147" t="s">
        <v>274</v>
      </c>
      <c r="L45" s="150" t="s">
        <v>258</v>
      </c>
      <c r="M45" s="150" t="s">
        <v>274</v>
      </c>
      <c r="N45" s="150" t="s">
        <v>299</v>
      </c>
      <c r="O45" s="150" t="s">
        <v>628</v>
      </c>
      <c r="P45" s="150"/>
      <c r="Q45" s="150">
        <v>2020</v>
      </c>
      <c r="R45" s="150" t="s">
        <v>456</v>
      </c>
      <c r="S45" s="150" t="s">
        <v>475</v>
      </c>
      <c r="T45" s="150"/>
      <c r="U45" s="208">
        <v>9</v>
      </c>
      <c r="V45" s="150" t="str">
        <f t="shared" si="0"/>
        <v>Mature</v>
      </c>
      <c r="W45" s="150"/>
      <c r="X45" s="204" t="b">
        <v>0</v>
      </c>
      <c r="Y45" s="150">
        <v>0.99</v>
      </c>
      <c r="Z45" s="150"/>
      <c r="AA45" s="150" t="s">
        <v>352</v>
      </c>
      <c r="AB45" s="159" t="s">
        <v>264</v>
      </c>
      <c r="AC45" s="209"/>
      <c r="AD45" s="150"/>
      <c r="AE45" s="209">
        <v>1</v>
      </c>
      <c r="AF45" s="150" t="s">
        <v>1351</v>
      </c>
      <c r="AG45" s="150" t="s">
        <v>346</v>
      </c>
      <c r="AH45" s="150" t="s">
        <v>346</v>
      </c>
      <c r="AI45" s="159" t="str">
        <f t="shared" ref="AI45:AI50" si="3">AG45</f>
        <v>El13</v>
      </c>
      <c r="AJ45" s="209">
        <v>0.99</v>
      </c>
      <c r="AK45" s="209">
        <v>0.99</v>
      </c>
      <c r="AL45" s="159" t="s">
        <v>1351</v>
      </c>
      <c r="AM45" s="209"/>
      <c r="AN45" s="159"/>
      <c r="AO45" s="211" t="s">
        <v>264</v>
      </c>
      <c r="AP45" s="159">
        <v>0</v>
      </c>
      <c r="AQ45" s="159">
        <v>0</v>
      </c>
      <c r="AR45" s="159">
        <v>35</v>
      </c>
      <c r="AS45" s="159">
        <v>0</v>
      </c>
      <c r="AT45" s="222">
        <v>0</v>
      </c>
      <c r="AU45" s="159">
        <v>0</v>
      </c>
      <c r="AV45" s="223"/>
      <c r="AW45" s="159">
        <v>0</v>
      </c>
      <c r="AX45" s="215">
        <v>0</v>
      </c>
      <c r="AY45" s="159"/>
      <c r="AZ45" s="204" t="b">
        <v>0</v>
      </c>
      <c r="BA45" s="150" t="s">
        <v>1533</v>
      </c>
      <c r="BB45" s="351" t="s">
        <v>706</v>
      </c>
      <c r="BC45" s="351" t="s">
        <v>706</v>
      </c>
      <c r="BD45" s="352" t="s">
        <v>706</v>
      </c>
      <c r="BE45" s="351" t="s">
        <v>706</v>
      </c>
      <c r="BF45" s="216" t="s">
        <v>264</v>
      </c>
      <c r="BG45" s="216" t="s">
        <v>264</v>
      </c>
      <c r="BH45" s="216" t="s">
        <v>264</v>
      </c>
      <c r="BI45" s="216" t="s">
        <v>264</v>
      </c>
      <c r="BJ45" s="216" t="s">
        <v>264</v>
      </c>
      <c r="BK45" s="159" t="s">
        <v>1647</v>
      </c>
      <c r="BL45" s="159" t="s">
        <v>1512</v>
      </c>
      <c r="BM45" s="207" t="s">
        <v>1648</v>
      </c>
      <c r="BN45" s="159"/>
      <c r="BO45" s="137" t="s">
        <v>1464</v>
      </c>
    </row>
    <row r="46" spans="1:88" ht="31.2">
      <c r="A46" s="204" t="b">
        <v>0</v>
      </c>
      <c r="B46" s="150" t="s">
        <v>1443</v>
      </c>
      <c r="C46" s="150"/>
      <c r="D46" s="204" t="b">
        <v>0</v>
      </c>
      <c r="E46" s="204" t="b">
        <v>0</v>
      </c>
      <c r="F46" s="206" t="s">
        <v>1649</v>
      </c>
      <c r="G46" s="159" t="s">
        <v>1650</v>
      </c>
      <c r="H46" s="206"/>
      <c r="I46" s="159" t="s">
        <v>233</v>
      </c>
      <c r="J46" s="207" t="s">
        <v>533</v>
      </c>
      <c r="K46" s="147" t="s">
        <v>274</v>
      </c>
      <c r="L46" s="150" t="s">
        <v>258</v>
      </c>
      <c r="M46" s="150" t="s">
        <v>274</v>
      </c>
      <c r="N46" s="150" t="s">
        <v>299</v>
      </c>
      <c r="O46" s="150" t="s">
        <v>628</v>
      </c>
      <c r="P46" s="150"/>
      <c r="Q46" s="150">
        <v>2050</v>
      </c>
      <c r="R46" s="150" t="s">
        <v>456</v>
      </c>
      <c r="S46" s="150" t="s">
        <v>475</v>
      </c>
      <c r="T46" s="150"/>
      <c r="U46" s="208">
        <v>9</v>
      </c>
      <c r="V46" s="150" t="str">
        <f t="shared" si="0"/>
        <v>Mature</v>
      </c>
      <c r="W46" s="150"/>
      <c r="X46" s="204" t="b">
        <v>0</v>
      </c>
      <c r="Y46" s="150">
        <v>0.99</v>
      </c>
      <c r="Z46" s="150"/>
      <c r="AA46" s="150" t="s">
        <v>352</v>
      </c>
      <c r="AB46" s="159" t="s">
        <v>264</v>
      </c>
      <c r="AC46" s="209"/>
      <c r="AD46" s="150"/>
      <c r="AE46" s="209">
        <v>1</v>
      </c>
      <c r="AF46" s="150" t="s">
        <v>1351</v>
      </c>
      <c r="AG46" s="150" t="s">
        <v>346</v>
      </c>
      <c r="AH46" s="150" t="s">
        <v>346</v>
      </c>
      <c r="AI46" s="159" t="str">
        <f t="shared" si="3"/>
        <v>El13</v>
      </c>
      <c r="AJ46" s="209">
        <v>0.99</v>
      </c>
      <c r="AK46" s="209">
        <v>0.99</v>
      </c>
      <c r="AL46" s="159" t="s">
        <v>1351</v>
      </c>
      <c r="AM46" s="209"/>
      <c r="AN46" s="159"/>
      <c r="AO46" s="211" t="s">
        <v>264</v>
      </c>
      <c r="AP46" s="159">
        <v>0</v>
      </c>
      <c r="AQ46" s="159">
        <v>0</v>
      </c>
      <c r="AR46" s="159">
        <v>35</v>
      </c>
      <c r="AS46" s="159">
        <v>0</v>
      </c>
      <c r="AT46" s="222">
        <v>0</v>
      </c>
      <c r="AU46" s="159">
        <v>0</v>
      </c>
      <c r="AV46" s="223"/>
      <c r="AW46" s="159">
        <v>0</v>
      </c>
      <c r="AX46" s="215">
        <v>0</v>
      </c>
      <c r="AY46" s="159"/>
      <c r="AZ46" s="204" t="b">
        <v>0</v>
      </c>
      <c r="BA46" s="150" t="s">
        <v>1533</v>
      </c>
      <c r="BB46" s="351" t="s">
        <v>706</v>
      </c>
      <c r="BC46" s="351" t="s">
        <v>706</v>
      </c>
      <c r="BD46" s="352" t="s">
        <v>706</v>
      </c>
      <c r="BE46" s="351" t="s">
        <v>706</v>
      </c>
      <c r="BF46" s="216" t="s">
        <v>264</v>
      </c>
      <c r="BG46" s="216" t="s">
        <v>264</v>
      </c>
      <c r="BH46" s="216" t="s">
        <v>264</v>
      </c>
      <c r="BI46" s="216" t="s">
        <v>264</v>
      </c>
      <c r="BJ46" s="216" t="s">
        <v>264</v>
      </c>
      <c r="BK46" s="159" t="s">
        <v>1647</v>
      </c>
      <c r="BL46" s="159" t="s">
        <v>1512</v>
      </c>
      <c r="BM46" s="207" t="s">
        <v>1648</v>
      </c>
      <c r="BN46" s="159"/>
      <c r="BO46" s="137" t="s">
        <v>1464</v>
      </c>
      <c r="BP46" s="18">
        <v>3000</v>
      </c>
      <c r="BQ46" s="141" t="e">
        <f>BP46/AT46-1</f>
        <v>#DIV/0!</v>
      </c>
      <c r="BR46" s="18">
        <v>30</v>
      </c>
      <c r="BS46" s="141" t="e">
        <f>BR46/AW46-1</f>
        <v>#DIV/0!</v>
      </c>
      <c r="BX46" s="18">
        <v>80</v>
      </c>
      <c r="BY46" s="141">
        <f>BX46/AR46-1</f>
        <v>1.2857142857142856</v>
      </c>
    </row>
    <row r="47" spans="1:88" ht="31.2">
      <c r="A47" s="204" t="b">
        <v>0</v>
      </c>
      <c r="B47" s="150" t="s">
        <v>1443</v>
      </c>
      <c r="C47" s="150"/>
      <c r="D47" s="204" t="b">
        <v>0</v>
      </c>
      <c r="E47" s="204" t="b">
        <v>0</v>
      </c>
      <c r="F47" s="206" t="s">
        <v>1651</v>
      </c>
      <c r="G47" s="159" t="s">
        <v>1652</v>
      </c>
      <c r="H47" s="206"/>
      <c r="I47" s="159" t="s">
        <v>233</v>
      </c>
      <c r="J47" s="207" t="s">
        <v>537</v>
      </c>
      <c r="K47" s="147" t="s">
        <v>274</v>
      </c>
      <c r="L47" s="150" t="s">
        <v>258</v>
      </c>
      <c r="M47" s="150" t="s">
        <v>274</v>
      </c>
      <c r="N47" s="150" t="s">
        <v>291</v>
      </c>
      <c r="O47" s="150" t="s">
        <v>628</v>
      </c>
      <c r="P47" s="150"/>
      <c r="Q47" s="150">
        <v>2020</v>
      </c>
      <c r="R47" s="150" t="s">
        <v>456</v>
      </c>
      <c r="S47" s="150" t="s">
        <v>475</v>
      </c>
      <c r="T47" s="150"/>
      <c r="U47" s="208">
        <v>9</v>
      </c>
      <c r="V47" s="150" t="str">
        <f t="shared" si="0"/>
        <v>Mature</v>
      </c>
      <c r="W47" s="150"/>
      <c r="X47" s="204" t="b">
        <v>0</v>
      </c>
      <c r="Y47" s="150">
        <v>0.96</v>
      </c>
      <c r="Z47" s="150"/>
      <c r="AA47" s="150" t="s">
        <v>354</v>
      </c>
      <c r="AB47" s="159" t="s">
        <v>264</v>
      </c>
      <c r="AC47" s="209"/>
      <c r="AD47" s="150"/>
      <c r="AE47" s="209">
        <v>1</v>
      </c>
      <c r="AF47" s="150" t="s">
        <v>1351</v>
      </c>
      <c r="AG47" s="150" t="s">
        <v>352</v>
      </c>
      <c r="AH47" s="150" t="s">
        <v>352</v>
      </c>
      <c r="AI47" s="159" t="str">
        <f t="shared" si="3"/>
        <v>El47</v>
      </c>
      <c r="AJ47" s="209">
        <v>0.96</v>
      </c>
      <c r="AK47" s="209">
        <v>0.96</v>
      </c>
      <c r="AL47" s="159" t="s">
        <v>1351</v>
      </c>
      <c r="AM47" s="209"/>
      <c r="AN47" s="159"/>
      <c r="AO47" s="211" t="s">
        <v>264</v>
      </c>
      <c r="AP47" s="159"/>
      <c r="AQ47" s="159">
        <v>0</v>
      </c>
      <c r="AR47" s="150">
        <v>40</v>
      </c>
      <c r="AS47" s="159">
        <v>0</v>
      </c>
      <c r="AT47" s="222">
        <v>0</v>
      </c>
      <c r="AU47" s="159">
        <v>0</v>
      </c>
      <c r="AV47" s="159"/>
      <c r="AW47" s="159">
        <v>0</v>
      </c>
      <c r="AX47" s="215">
        <v>0</v>
      </c>
      <c r="AY47" s="159"/>
      <c r="AZ47" s="204" t="b">
        <v>0</v>
      </c>
      <c r="BA47" s="150" t="s">
        <v>1533</v>
      </c>
      <c r="BB47" s="351" t="s">
        <v>706</v>
      </c>
      <c r="BC47" s="351" t="s">
        <v>706</v>
      </c>
      <c r="BD47" s="352" t="s">
        <v>706</v>
      </c>
      <c r="BE47" s="351" t="s">
        <v>706</v>
      </c>
      <c r="BF47" s="216" t="s">
        <v>264</v>
      </c>
      <c r="BG47" s="216" t="s">
        <v>264</v>
      </c>
      <c r="BH47" s="216" t="s">
        <v>264</v>
      </c>
      <c r="BI47" s="216" t="s">
        <v>264</v>
      </c>
      <c r="BJ47" s="216" t="s">
        <v>264</v>
      </c>
      <c r="BK47" s="159" t="s">
        <v>1647</v>
      </c>
      <c r="BL47" s="159" t="s">
        <v>1512</v>
      </c>
      <c r="BM47" s="207" t="s">
        <v>1653</v>
      </c>
      <c r="BN47" s="159"/>
      <c r="BO47" s="137" t="s">
        <v>1464</v>
      </c>
      <c r="BP47" s="18">
        <v>3000</v>
      </c>
      <c r="BQ47" s="141" t="e">
        <f>BP47/AT47-1</f>
        <v>#DIV/0!</v>
      </c>
      <c r="BR47" s="18">
        <v>30</v>
      </c>
      <c r="BS47" s="141" t="e">
        <f>BR47/AW47-1</f>
        <v>#DIV/0!</v>
      </c>
      <c r="BX47" s="18">
        <v>80</v>
      </c>
      <c r="BY47" s="141">
        <f>BX47/AR47-1</f>
        <v>1</v>
      </c>
    </row>
    <row r="48" spans="1:88" ht="31.2">
      <c r="A48" s="204" t="b">
        <v>0</v>
      </c>
      <c r="B48" s="150" t="s">
        <v>1443</v>
      </c>
      <c r="C48" s="150"/>
      <c r="D48" s="204" t="b">
        <v>0</v>
      </c>
      <c r="E48" s="204" t="b">
        <v>0</v>
      </c>
      <c r="F48" s="206" t="s">
        <v>1654</v>
      </c>
      <c r="G48" s="159" t="s">
        <v>1655</v>
      </c>
      <c r="H48" s="206"/>
      <c r="I48" s="159" t="s">
        <v>233</v>
      </c>
      <c r="J48" s="207" t="s">
        <v>537</v>
      </c>
      <c r="K48" s="147" t="s">
        <v>274</v>
      </c>
      <c r="L48" s="150" t="s">
        <v>258</v>
      </c>
      <c r="M48" s="150" t="s">
        <v>274</v>
      </c>
      <c r="N48" s="150" t="s">
        <v>291</v>
      </c>
      <c r="O48" s="150" t="s">
        <v>628</v>
      </c>
      <c r="P48" s="150"/>
      <c r="Q48" s="150">
        <v>2050</v>
      </c>
      <c r="R48" s="150" t="s">
        <v>456</v>
      </c>
      <c r="S48" s="150" t="s">
        <v>475</v>
      </c>
      <c r="T48" s="150"/>
      <c r="U48" s="208">
        <v>9</v>
      </c>
      <c r="V48" s="150" t="str">
        <f t="shared" si="0"/>
        <v>Mature</v>
      </c>
      <c r="W48" s="150"/>
      <c r="X48" s="204" t="b">
        <v>0</v>
      </c>
      <c r="Y48" s="150">
        <v>0.96</v>
      </c>
      <c r="Z48" s="150"/>
      <c r="AA48" s="150" t="s">
        <v>354</v>
      </c>
      <c r="AB48" s="159" t="s">
        <v>264</v>
      </c>
      <c r="AC48" s="209"/>
      <c r="AD48" s="150"/>
      <c r="AE48" s="209">
        <v>1</v>
      </c>
      <c r="AF48" s="150" t="s">
        <v>1351</v>
      </c>
      <c r="AG48" s="150" t="s">
        <v>352</v>
      </c>
      <c r="AH48" s="150" t="s">
        <v>352</v>
      </c>
      <c r="AI48" s="159" t="str">
        <f t="shared" si="3"/>
        <v>El47</v>
      </c>
      <c r="AJ48" s="209">
        <v>0.96</v>
      </c>
      <c r="AK48" s="209">
        <v>0.96</v>
      </c>
      <c r="AL48" s="159" t="s">
        <v>1351</v>
      </c>
      <c r="AM48" s="209"/>
      <c r="AN48" s="159"/>
      <c r="AO48" s="211" t="s">
        <v>264</v>
      </c>
      <c r="AP48" s="159"/>
      <c r="AQ48" s="159">
        <v>0</v>
      </c>
      <c r="AR48" s="150">
        <v>40</v>
      </c>
      <c r="AS48" s="159">
        <v>0</v>
      </c>
      <c r="AT48" s="222">
        <v>0</v>
      </c>
      <c r="AU48" s="159">
        <v>0</v>
      </c>
      <c r="AV48" s="159"/>
      <c r="AW48" s="159">
        <v>0</v>
      </c>
      <c r="AX48" s="215">
        <v>0</v>
      </c>
      <c r="AY48" s="159"/>
      <c r="AZ48" s="204" t="b">
        <v>0</v>
      </c>
      <c r="BA48" s="150" t="s">
        <v>1533</v>
      </c>
      <c r="BB48" s="351" t="s">
        <v>706</v>
      </c>
      <c r="BC48" s="351" t="s">
        <v>706</v>
      </c>
      <c r="BD48" s="352" t="s">
        <v>706</v>
      </c>
      <c r="BE48" s="351" t="s">
        <v>706</v>
      </c>
      <c r="BF48" s="216" t="s">
        <v>264</v>
      </c>
      <c r="BG48" s="216" t="s">
        <v>264</v>
      </c>
      <c r="BH48" s="216" t="s">
        <v>264</v>
      </c>
      <c r="BI48" s="216" t="s">
        <v>264</v>
      </c>
      <c r="BJ48" s="216" t="s">
        <v>264</v>
      </c>
      <c r="BK48" s="159" t="s">
        <v>1647</v>
      </c>
      <c r="BL48" s="159" t="s">
        <v>1512</v>
      </c>
      <c r="BM48" s="207" t="s">
        <v>1653</v>
      </c>
      <c r="BN48" s="159"/>
      <c r="BO48" s="137" t="s">
        <v>1464</v>
      </c>
      <c r="BP48" s="18">
        <v>3000</v>
      </c>
      <c r="BQ48" s="141" t="e">
        <f>BP48/AT48-1</f>
        <v>#DIV/0!</v>
      </c>
      <c r="BR48" s="18">
        <v>30</v>
      </c>
      <c r="BS48" s="141" t="e">
        <f>BR48/AW48-1</f>
        <v>#DIV/0!</v>
      </c>
      <c r="BX48" s="18">
        <v>80</v>
      </c>
      <c r="BY48" s="141">
        <f>BX48/AR48-1</f>
        <v>1</v>
      </c>
    </row>
    <row r="49" spans="1:88" ht="31.2">
      <c r="A49" s="204" t="b">
        <v>1</v>
      </c>
      <c r="B49" s="150" t="s">
        <v>1443</v>
      </c>
      <c r="C49" s="150"/>
      <c r="D49" s="204" t="b">
        <v>0</v>
      </c>
      <c r="E49" s="204" t="b">
        <v>0</v>
      </c>
      <c r="F49" s="206" t="s">
        <v>1656</v>
      </c>
      <c r="G49" s="159" t="s">
        <v>1657</v>
      </c>
      <c r="H49" s="206"/>
      <c r="I49" s="159" t="s">
        <v>233</v>
      </c>
      <c r="J49" s="207" t="s">
        <v>541</v>
      </c>
      <c r="K49" s="147" t="s">
        <v>274</v>
      </c>
      <c r="L49" s="150" t="s">
        <v>258</v>
      </c>
      <c r="M49" s="150" t="s">
        <v>274</v>
      </c>
      <c r="N49" s="150" t="s">
        <v>291</v>
      </c>
      <c r="O49" s="150" t="s">
        <v>628</v>
      </c>
      <c r="P49" s="150"/>
      <c r="Q49" s="150">
        <v>2020</v>
      </c>
      <c r="R49" s="150" t="s">
        <v>456</v>
      </c>
      <c r="S49" s="150" t="s">
        <v>475</v>
      </c>
      <c r="T49" s="150"/>
      <c r="U49" s="208">
        <v>9</v>
      </c>
      <c r="V49" s="150" t="str">
        <f t="shared" si="0"/>
        <v>Mature</v>
      </c>
      <c r="W49" s="150" t="s">
        <v>1447</v>
      </c>
      <c r="X49" s="204" t="b">
        <v>0</v>
      </c>
      <c r="Y49" s="150">
        <v>0.99</v>
      </c>
      <c r="Z49" s="150"/>
      <c r="AA49" s="150" t="s">
        <v>358</v>
      </c>
      <c r="AB49" s="159" t="s">
        <v>264</v>
      </c>
      <c r="AC49" s="209"/>
      <c r="AD49" s="150"/>
      <c r="AE49" s="209">
        <v>1</v>
      </c>
      <c r="AF49" s="150" t="s">
        <v>1351</v>
      </c>
      <c r="AG49" s="150" t="s">
        <v>352</v>
      </c>
      <c r="AH49" s="150" t="s">
        <v>352</v>
      </c>
      <c r="AI49" s="159" t="str">
        <f t="shared" si="3"/>
        <v>El47</v>
      </c>
      <c r="AJ49" s="209">
        <v>0.99</v>
      </c>
      <c r="AK49" s="209">
        <v>0.99</v>
      </c>
      <c r="AL49" s="159" t="s">
        <v>1351</v>
      </c>
      <c r="AM49" s="209"/>
      <c r="AN49" s="159"/>
      <c r="AO49" s="211" t="s">
        <v>264</v>
      </c>
      <c r="AP49" s="159">
        <v>0</v>
      </c>
      <c r="AQ49" s="159">
        <v>0</v>
      </c>
      <c r="AR49" s="159"/>
      <c r="AS49" s="159">
        <v>0</v>
      </c>
      <c r="AT49" s="222">
        <v>0</v>
      </c>
      <c r="AU49" s="159">
        <v>0</v>
      </c>
      <c r="AV49" s="159"/>
      <c r="AW49" s="159">
        <v>0</v>
      </c>
      <c r="AX49" s="215">
        <v>0</v>
      </c>
      <c r="AY49" s="159"/>
      <c r="AZ49" s="204" t="b">
        <v>0</v>
      </c>
      <c r="BA49" s="150" t="s">
        <v>1533</v>
      </c>
      <c r="BB49" s="351" t="s">
        <v>706</v>
      </c>
      <c r="BC49" s="351" t="s">
        <v>706</v>
      </c>
      <c r="BD49" s="352" t="s">
        <v>706</v>
      </c>
      <c r="BE49" s="351" t="s">
        <v>706</v>
      </c>
      <c r="BF49" s="216" t="s">
        <v>264</v>
      </c>
      <c r="BG49" s="216" t="s">
        <v>264</v>
      </c>
      <c r="BH49" s="216" t="s">
        <v>264</v>
      </c>
      <c r="BI49" s="216" t="s">
        <v>264</v>
      </c>
      <c r="BJ49" s="216" t="s">
        <v>264</v>
      </c>
      <c r="BK49" s="159" t="s">
        <v>1647</v>
      </c>
      <c r="BL49" s="159" t="s">
        <v>1512</v>
      </c>
      <c r="BM49" s="207" t="s">
        <v>1653</v>
      </c>
      <c r="BN49" s="159"/>
      <c r="BO49" s="137" t="s">
        <v>1464</v>
      </c>
      <c r="BP49" s="18">
        <v>3000</v>
      </c>
      <c r="BQ49" s="141" t="e">
        <f>BP49/AT49-1</f>
        <v>#DIV/0!</v>
      </c>
      <c r="BR49" s="18">
        <v>30</v>
      </c>
      <c r="BS49" s="141" t="e">
        <f>BR49/AW49-1</f>
        <v>#DIV/0!</v>
      </c>
      <c r="BX49" s="18">
        <v>80</v>
      </c>
      <c r="BY49" s="141" t="e">
        <f>BX49/AR49-1</f>
        <v>#DIV/0!</v>
      </c>
    </row>
    <row r="50" spans="1:88" s="159" customFormat="1" ht="31.2">
      <c r="A50" s="204" t="b">
        <v>1</v>
      </c>
      <c r="B50" s="150" t="s">
        <v>1443</v>
      </c>
      <c r="C50" s="150"/>
      <c r="D50" s="204" t="b">
        <v>0</v>
      </c>
      <c r="E50" s="204" t="b">
        <v>0</v>
      </c>
      <c r="F50" s="206" t="s">
        <v>1658</v>
      </c>
      <c r="G50" s="159" t="s">
        <v>1657</v>
      </c>
      <c r="H50" s="206"/>
      <c r="I50" s="159" t="s">
        <v>233</v>
      </c>
      <c r="J50" s="207" t="s">
        <v>541</v>
      </c>
      <c r="K50" s="147" t="s">
        <v>274</v>
      </c>
      <c r="L50" s="150" t="s">
        <v>258</v>
      </c>
      <c r="M50" s="150" t="s">
        <v>274</v>
      </c>
      <c r="N50" s="150" t="s">
        <v>291</v>
      </c>
      <c r="O50" s="150" t="s">
        <v>628</v>
      </c>
      <c r="P50" s="150"/>
      <c r="Q50" s="150">
        <v>2050</v>
      </c>
      <c r="R50" s="150" t="s">
        <v>456</v>
      </c>
      <c r="S50" s="150" t="s">
        <v>475</v>
      </c>
      <c r="T50" s="150"/>
      <c r="U50" s="208">
        <v>9</v>
      </c>
      <c r="V50" s="150" t="str">
        <f t="shared" si="0"/>
        <v>Mature</v>
      </c>
      <c r="W50" s="150" t="s">
        <v>1447</v>
      </c>
      <c r="X50" s="204" t="b">
        <v>0</v>
      </c>
      <c r="Y50" s="150">
        <v>0.99</v>
      </c>
      <c r="Z50" s="150"/>
      <c r="AA50" s="150" t="s">
        <v>358</v>
      </c>
      <c r="AB50" s="159" t="s">
        <v>264</v>
      </c>
      <c r="AC50" s="209"/>
      <c r="AD50" s="150"/>
      <c r="AE50" s="209">
        <v>1</v>
      </c>
      <c r="AF50" s="150" t="s">
        <v>1351</v>
      </c>
      <c r="AG50" s="150" t="s">
        <v>352</v>
      </c>
      <c r="AH50" s="150" t="s">
        <v>352</v>
      </c>
      <c r="AI50" s="159" t="str">
        <f t="shared" si="3"/>
        <v>El47</v>
      </c>
      <c r="AJ50" s="209">
        <v>0.99</v>
      </c>
      <c r="AK50" s="209">
        <v>0.99</v>
      </c>
      <c r="AL50" s="159" t="s">
        <v>1351</v>
      </c>
      <c r="AM50" s="209"/>
      <c r="AO50" s="211" t="s">
        <v>264</v>
      </c>
      <c r="AP50" s="159">
        <v>0</v>
      </c>
      <c r="AQ50" s="159">
        <v>0</v>
      </c>
      <c r="AS50" s="159">
        <v>0</v>
      </c>
      <c r="AT50" s="222">
        <v>0</v>
      </c>
      <c r="AU50" s="159">
        <v>0</v>
      </c>
      <c r="AW50" s="159">
        <v>0</v>
      </c>
      <c r="AX50" s="215">
        <v>0</v>
      </c>
      <c r="AZ50" s="204" t="b">
        <v>0</v>
      </c>
      <c r="BA50" s="150" t="s">
        <v>1533</v>
      </c>
      <c r="BB50" s="351" t="s">
        <v>706</v>
      </c>
      <c r="BC50" s="351" t="s">
        <v>706</v>
      </c>
      <c r="BD50" s="352" t="s">
        <v>706</v>
      </c>
      <c r="BE50" s="351" t="s">
        <v>706</v>
      </c>
      <c r="BF50" s="216" t="s">
        <v>264</v>
      </c>
      <c r="BG50" s="216" t="s">
        <v>264</v>
      </c>
      <c r="BH50" s="216" t="s">
        <v>264</v>
      </c>
      <c r="BI50" s="216" t="s">
        <v>264</v>
      </c>
      <c r="BJ50" s="216" t="s">
        <v>264</v>
      </c>
      <c r="BK50" s="159" t="s">
        <v>1647</v>
      </c>
      <c r="BL50" s="159" t="s">
        <v>1512</v>
      </c>
      <c r="BM50" s="207" t="s">
        <v>1653</v>
      </c>
      <c r="BO50" s="137" t="s">
        <v>1464</v>
      </c>
      <c r="BY50" s="219"/>
    </row>
    <row r="51" spans="1:88" s="159" customFormat="1" ht="31.2">
      <c r="A51" s="204" t="b">
        <v>0</v>
      </c>
      <c r="B51" s="150"/>
      <c r="C51" s="150"/>
      <c r="D51" s="204" t="b">
        <v>0</v>
      </c>
      <c r="E51" s="204" t="b">
        <v>0</v>
      </c>
      <c r="F51" s="206" t="s">
        <v>1659</v>
      </c>
      <c r="G51" s="159" t="s">
        <v>1660</v>
      </c>
      <c r="H51" s="206"/>
      <c r="I51" s="159" t="s">
        <v>239</v>
      </c>
      <c r="J51" s="207" t="s">
        <v>609</v>
      </c>
      <c r="K51" s="207" t="s">
        <v>846</v>
      </c>
      <c r="L51" s="150" t="s">
        <v>267</v>
      </c>
      <c r="M51" s="150" t="s">
        <v>213</v>
      </c>
      <c r="N51" s="150" t="s">
        <v>285</v>
      </c>
      <c r="O51" s="150" t="s">
        <v>304</v>
      </c>
      <c r="P51" s="150"/>
      <c r="Q51" s="150">
        <v>2020</v>
      </c>
      <c r="R51" s="150" t="s">
        <v>456</v>
      </c>
      <c r="S51" s="150" t="s">
        <v>475</v>
      </c>
      <c r="T51" s="150"/>
      <c r="U51" s="208"/>
      <c r="V51" s="150" t="str">
        <f t="shared" si="0"/>
        <v/>
      </c>
      <c r="W51" s="150"/>
      <c r="X51" s="204" t="b">
        <v>0</v>
      </c>
      <c r="Y51" s="150">
        <v>0.85</v>
      </c>
      <c r="Z51" s="150"/>
      <c r="AA51" s="150" t="s">
        <v>447</v>
      </c>
      <c r="AB51" s="150" t="s">
        <v>264</v>
      </c>
      <c r="AC51" s="209"/>
      <c r="AD51" s="150"/>
      <c r="AE51" s="209">
        <v>1</v>
      </c>
      <c r="AF51" s="150" t="s">
        <v>1351</v>
      </c>
      <c r="AG51" s="150" t="s">
        <v>437</v>
      </c>
      <c r="AH51" s="150" t="s">
        <v>437</v>
      </c>
      <c r="AI51" s="150" t="s">
        <v>437</v>
      </c>
      <c r="AJ51" s="209">
        <v>0.85</v>
      </c>
      <c r="AK51" s="209">
        <v>0.85</v>
      </c>
      <c r="AL51" s="150" t="s">
        <v>1351</v>
      </c>
      <c r="AM51" s="209"/>
      <c r="AO51" s="220" t="s">
        <v>264</v>
      </c>
      <c r="AP51" s="150">
        <v>0</v>
      </c>
      <c r="AQ51" s="150">
        <v>0</v>
      </c>
      <c r="AR51" s="150">
        <v>25</v>
      </c>
      <c r="AS51" s="150">
        <v>0</v>
      </c>
      <c r="AT51" s="227">
        <v>650</v>
      </c>
      <c r="AU51" s="150">
        <v>0</v>
      </c>
      <c r="AV51" s="214">
        <f t="shared" ref="AV51:AV60" si="4">+AW51/AT51%</f>
        <v>2</v>
      </c>
      <c r="AW51" s="150">
        <v>13</v>
      </c>
      <c r="AX51" s="215">
        <v>0</v>
      </c>
      <c r="AZ51" s="204" t="b">
        <v>0</v>
      </c>
      <c r="BA51" s="150" t="s">
        <v>1533</v>
      </c>
      <c r="BB51" s="351" t="s">
        <v>706</v>
      </c>
      <c r="BC51" s="351" t="s">
        <v>706</v>
      </c>
      <c r="BD51" s="352" t="s">
        <v>706</v>
      </c>
      <c r="BE51" s="351" t="s">
        <v>706</v>
      </c>
      <c r="BF51" s="216" t="s">
        <v>264</v>
      </c>
      <c r="BG51" s="216" t="s">
        <v>264</v>
      </c>
      <c r="BH51" s="216" t="s">
        <v>264</v>
      </c>
      <c r="BI51" s="216" t="s">
        <v>264</v>
      </c>
      <c r="BJ51" s="216" t="s">
        <v>264</v>
      </c>
      <c r="BK51" s="159" t="s">
        <v>1661</v>
      </c>
      <c r="BL51" s="159" t="s">
        <v>1512</v>
      </c>
      <c r="BO51" s="207" t="s">
        <v>1535</v>
      </c>
    </row>
    <row r="52" spans="1:88" ht="31.2">
      <c r="A52" s="204" t="b">
        <v>0</v>
      </c>
      <c r="B52" s="150"/>
      <c r="C52" s="150"/>
      <c r="D52" s="204" t="b">
        <v>0</v>
      </c>
      <c r="E52" s="204" t="b">
        <v>0</v>
      </c>
      <c r="F52" s="206" t="s">
        <v>1662</v>
      </c>
      <c r="G52" s="159" t="s">
        <v>1663</v>
      </c>
      <c r="H52" s="206"/>
      <c r="I52" s="159" t="s">
        <v>239</v>
      </c>
      <c r="J52" s="207" t="s">
        <v>609</v>
      </c>
      <c r="K52" s="207" t="s">
        <v>846</v>
      </c>
      <c r="L52" s="150" t="s">
        <v>267</v>
      </c>
      <c r="M52" s="150" t="s">
        <v>213</v>
      </c>
      <c r="N52" s="150" t="s">
        <v>285</v>
      </c>
      <c r="O52" s="150" t="s">
        <v>304</v>
      </c>
      <c r="P52" s="150"/>
      <c r="Q52" s="150">
        <v>2050</v>
      </c>
      <c r="R52" s="150" t="s">
        <v>456</v>
      </c>
      <c r="S52" s="150" t="s">
        <v>475</v>
      </c>
      <c r="T52" s="150"/>
      <c r="U52" s="208"/>
      <c r="V52" s="150" t="str">
        <f t="shared" si="0"/>
        <v/>
      </c>
      <c r="W52" s="150"/>
      <c r="X52" s="204" t="b">
        <v>0</v>
      </c>
      <c r="Y52" s="150">
        <v>0.85</v>
      </c>
      <c r="Z52" s="150"/>
      <c r="AA52" s="150" t="s">
        <v>447</v>
      </c>
      <c r="AB52" s="150" t="s">
        <v>264</v>
      </c>
      <c r="AC52" s="209"/>
      <c r="AD52" s="150"/>
      <c r="AE52" s="209">
        <v>1</v>
      </c>
      <c r="AF52" s="150" t="s">
        <v>1351</v>
      </c>
      <c r="AG52" s="150" t="s">
        <v>437</v>
      </c>
      <c r="AH52" s="150" t="s">
        <v>437</v>
      </c>
      <c r="AI52" s="150" t="s">
        <v>437</v>
      </c>
      <c r="AJ52" s="209">
        <v>0.85</v>
      </c>
      <c r="AK52" s="209">
        <v>0.85</v>
      </c>
      <c r="AL52" s="150" t="s">
        <v>1351</v>
      </c>
      <c r="AM52" s="209"/>
      <c r="AN52" s="159"/>
      <c r="AO52" s="220" t="s">
        <v>264</v>
      </c>
      <c r="AP52" s="150">
        <v>0</v>
      </c>
      <c r="AQ52" s="150">
        <v>0</v>
      </c>
      <c r="AR52" s="150">
        <v>25</v>
      </c>
      <c r="AS52" s="150">
        <v>0</v>
      </c>
      <c r="AT52" s="227">
        <v>650</v>
      </c>
      <c r="AU52" s="150">
        <v>0</v>
      </c>
      <c r="AV52" s="214">
        <f t="shared" si="4"/>
        <v>2</v>
      </c>
      <c r="AW52" s="150">
        <v>13</v>
      </c>
      <c r="AX52" s="215">
        <v>0</v>
      </c>
      <c r="AY52" s="159"/>
      <c r="AZ52" s="204" t="b">
        <v>0</v>
      </c>
      <c r="BA52" s="150" t="s">
        <v>1533</v>
      </c>
      <c r="BB52" s="351" t="s">
        <v>706</v>
      </c>
      <c r="BC52" s="351" t="s">
        <v>706</v>
      </c>
      <c r="BD52" s="352" t="s">
        <v>706</v>
      </c>
      <c r="BE52" s="351" t="s">
        <v>706</v>
      </c>
      <c r="BF52" s="216" t="s">
        <v>264</v>
      </c>
      <c r="BG52" s="216" t="s">
        <v>264</v>
      </c>
      <c r="BH52" s="216" t="s">
        <v>264</v>
      </c>
      <c r="BI52" s="216" t="s">
        <v>264</v>
      </c>
      <c r="BJ52" s="216" t="s">
        <v>264</v>
      </c>
      <c r="BK52" s="159" t="s">
        <v>1661</v>
      </c>
      <c r="BL52" s="159" t="s">
        <v>1512</v>
      </c>
      <c r="BM52" s="159"/>
      <c r="BN52" s="159"/>
      <c r="BO52" s="207" t="s">
        <v>1535</v>
      </c>
    </row>
    <row r="53" spans="1:88">
      <c r="A53" s="23" t="b">
        <v>0</v>
      </c>
      <c r="B53" s="57"/>
      <c r="C53" s="57"/>
      <c r="D53" s="23" t="b">
        <v>0</v>
      </c>
      <c r="E53" s="23" t="b">
        <v>0</v>
      </c>
      <c r="F53" s="31" t="s">
        <v>1664</v>
      </c>
      <c r="G53" s="18" t="s">
        <v>1665</v>
      </c>
      <c r="I53" s="18" t="s">
        <v>239</v>
      </c>
      <c r="J53" s="47" t="s">
        <v>598</v>
      </c>
      <c r="K53" s="47" t="s">
        <v>591</v>
      </c>
      <c r="L53" s="24" t="s">
        <v>267</v>
      </c>
      <c r="M53" s="24"/>
      <c r="N53" s="24"/>
      <c r="O53" s="24" t="s">
        <v>304</v>
      </c>
      <c r="P53" s="24"/>
      <c r="Q53" s="24">
        <v>2020</v>
      </c>
      <c r="R53" s="24" t="s">
        <v>456</v>
      </c>
      <c r="S53" s="24" t="s">
        <v>475</v>
      </c>
      <c r="U53" s="189">
        <v>9</v>
      </c>
      <c r="V53" s="24" t="str">
        <f t="shared" si="0"/>
        <v>Mature</v>
      </c>
      <c r="X53" s="23" t="b">
        <v>0</v>
      </c>
      <c r="AA53" s="24" t="s">
        <v>354</v>
      </c>
      <c r="AB53" s="24" t="s">
        <v>264</v>
      </c>
      <c r="AE53" s="184">
        <v>1</v>
      </c>
      <c r="AF53" s="24" t="s">
        <v>1351</v>
      </c>
      <c r="AG53" s="24" t="s">
        <v>420</v>
      </c>
      <c r="AH53" s="24" t="s">
        <v>420</v>
      </c>
      <c r="AI53" s="24" t="s">
        <v>420</v>
      </c>
      <c r="AJ53" s="184">
        <v>1</v>
      </c>
      <c r="AK53" s="184">
        <v>1</v>
      </c>
      <c r="AL53" s="24" t="s">
        <v>1351</v>
      </c>
      <c r="AO53" s="165" t="s">
        <v>264</v>
      </c>
      <c r="AP53" s="24">
        <v>5</v>
      </c>
      <c r="AQ53" s="24">
        <v>5</v>
      </c>
      <c r="AR53" s="24">
        <v>25</v>
      </c>
      <c r="AS53" s="24">
        <v>0</v>
      </c>
      <c r="AT53" s="171">
        <v>65</v>
      </c>
      <c r="AU53" s="24">
        <v>0</v>
      </c>
      <c r="AV53" s="111">
        <f t="shared" si="4"/>
        <v>1.5384615384615383</v>
      </c>
      <c r="AW53" s="24">
        <v>1</v>
      </c>
      <c r="AX53" s="177">
        <v>1E-3</v>
      </c>
      <c r="AZ53" s="23" t="b">
        <v>0</v>
      </c>
      <c r="BA53" s="24" t="s">
        <v>1533</v>
      </c>
      <c r="BB53" s="349" t="s">
        <v>1666</v>
      </c>
      <c r="BC53" s="349" t="s">
        <v>1081</v>
      </c>
      <c r="BD53" s="350">
        <v>1.2863636000000001</v>
      </c>
      <c r="BE53" s="349" t="s">
        <v>1074</v>
      </c>
      <c r="BF53" s="143" t="s">
        <v>264</v>
      </c>
      <c r="BG53" s="143" t="s">
        <v>264</v>
      </c>
      <c r="BH53" s="143" t="s">
        <v>264</v>
      </c>
      <c r="BI53" s="143" t="s">
        <v>264</v>
      </c>
      <c r="BJ53" s="143" t="s">
        <v>264</v>
      </c>
      <c r="BK53" s="18" t="s">
        <v>1667</v>
      </c>
      <c r="BL53" s="18" t="s">
        <v>1459</v>
      </c>
      <c r="BM53" s="95"/>
      <c r="BO53" s="116" t="s">
        <v>1535</v>
      </c>
    </row>
    <row r="54" spans="1:88">
      <c r="A54" s="23" t="b">
        <v>0</v>
      </c>
      <c r="B54" s="57"/>
      <c r="C54" s="57"/>
      <c r="D54" s="23" t="b">
        <v>0</v>
      </c>
      <c r="E54" s="23" t="b">
        <v>0</v>
      </c>
      <c r="F54" s="31" t="s">
        <v>1668</v>
      </c>
      <c r="G54" s="18" t="s">
        <v>1669</v>
      </c>
      <c r="I54" s="18" t="s">
        <v>239</v>
      </c>
      <c r="J54" s="47" t="s">
        <v>598</v>
      </c>
      <c r="K54" s="47" t="s">
        <v>591</v>
      </c>
      <c r="L54" s="24" t="s">
        <v>267</v>
      </c>
      <c r="M54" s="24"/>
      <c r="N54" s="24"/>
      <c r="O54" s="24" t="s">
        <v>304</v>
      </c>
      <c r="P54" s="24"/>
      <c r="Q54" s="24">
        <v>2030</v>
      </c>
      <c r="R54" s="24" t="s">
        <v>456</v>
      </c>
      <c r="S54" s="24" t="s">
        <v>475</v>
      </c>
      <c r="U54" s="189">
        <v>9</v>
      </c>
      <c r="V54" s="24" t="str">
        <f t="shared" si="0"/>
        <v>Mature</v>
      </c>
      <c r="X54" s="23" t="b">
        <v>0</v>
      </c>
      <c r="AA54" s="24" t="s">
        <v>354</v>
      </c>
      <c r="AB54" s="24" t="s">
        <v>264</v>
      </c>
      <c r="AE54" s="184">
        <v>1</v>
      </c>
      <c r="AF54" s="24" t="s">
        <v>1351</v>
      </c>
      <c r="AG54" s="24" t="s">
        <v>420</v>
      </c>
      <c r="AH54" s="24" t="s">
        <v>420</v>
      </c>
      <c r="AI54" s="24" t="s">
        <v>420</v>
      </c>
      <c r="AJ54" s="184">
        <v>1</v>
      </c>
      <c r="AK54" s="184">
        <v>1</v>
      </c>
      <c r="AL54" s="24" t="s">
        <v>1351</v>
      </c>
      <c r="AO54" s="165" t="s">
        <v>264</v>
      </c>
      <c r="AP54" s="24">
        <v>5</v>
      </c>
      <c r="AQ54" s="24">
        <v>5</v>
      </c>
      <c r="AR54" s="24">
        <v>25</v>
      </c>
      <c r="AS54" s="24">
        <v>0</v>
      </c>
      <c r="AT54" s="171">
        <v>65</v>
      </c>
      <c r="AU54" s="24">
        <v>0</v>
      </c>
      <c r="AV54" s="111">
        <f t="shared" si="4"/>
        <v>1.5384615384615383</v>
      </c>
      <c r="AW54" s="24">
        <v>1</v>
      </c>
      <c r="AX54" s="177">
        <v>1E-3</v>
      </c>
      <c r="AZ54" s="23" t="b">
        <v>0</v>
      </c>
      <c r="BA54" s="24" t="s">
        <v>1533</v>
      </c>
      <c r="BB54" s="349" t="s">
        <v>1666</v>
      </c>
      <c r="BC54" s="349" t="s">
        <v>1081</v>
      </c>
      <c r="BD54" s="350">
        <v>1.0836896</v>
      </c>
      <c r="BE54" s="349" t="s">
        <v>1075</v>
      </c>
      <c r="BF54" s="143" t="s">
        <v>264</v>
      </c>
      <c r="BG54" s="143" t="s">
        <v>264</v>
      </c>
      <c r="BH54" s="143" t="s">
        <v>264</v>
      </c>
      <c r="BI54" s="143" t="s">
        <v>264</v>
      </c>
      <c r="BJ54" s="143" t="s">
        <v>264</v>
      </c>
      <c r="BK54" s="18" t="s">
        <v>1670</v>
      </c>
      <c r="BL54" s="18" t="s">
        <v>1459</v>
      </c>
      <c r="BM54" s="95"/>
      <c r="BO54" s="116" t="s">
        <v>1535</v>
      </c>
    </row>
    <row r="55" spans="1:88">
      <c r="A55" s="23" t="b">
        <v>0</v>
      </c>
      <c r="B55" s="57"/>
      <c r="C55" s="57"/>
      <c r="D55" s="23" t="b">
        <v>0</v>
      </c>
      <c r="E55" s="23" t="b">
        <v>0</v>
      </c>
      <c r="F55" s="31" t="s">
        <v>1671</v>
      </c>
      <c r="G55" s="18" t="s">
        <v>1672</v>
      </c>
      <c r="I55" s="18" t="s">
        <v>239</v>
      </c>
      <c r="J55" s="47" t="s">
        <v>598</v>
      </c>
      <c r="K55" s="47" t="s">
        <v>591</v>
      </c>
      <c r="L55" s="24" t="s">
        <v>267</v>
      </c>
      <c r="M55" s="24"/>
      <c r="N55" s="24"/>
      <c r="O55" s="24" t="s">
        <v>304</v>
      </c>
      <c r="P55" s="24"/>
      <c r="Q55" s="24">
        <v>2040</v>
      </c>
      <c r="R55" s="24" t="s">
        <v>456</v>
      </c>
      <c r="S55" s="24" t="s">
        <v>475</v>
      </c>
      <c r="U55" s="189">
        <v>9</v>
      </c>
      <c r="V55" s="24" t="str">
        <f t="shared" si="0"/>
        <v>Mature</v>
      </c>
      <c r="X55" s="23" t="b">
        <v>0</v>
      </c>
      <c r="AA55" s="24" t="s">
        <v>354</v>
      </c>
      <c r="AB55" s="24" t="s">
        <v>264</v>
      </c>
      <c r="AE55" s="184">
        <v>1</v>
      </c>
      <c r="AF55" s="24" t="s">
        <v>1351</v>
      </c>
      <c r="AG55" s="24" t="s">
        <v>420</v>
      </c>
      <c r="AH55" s="24" t="s">
        <v>420</v>
      </c>
      <c r="AI55" s="24" t="s">
        <v>420</v>
      </c>
      <c r="AJ55" s="184">
        <v>1</v>
      </c>
      <c r="AK55" s="184">
        <v>1</v>
      </c>
      <c r="AL55" s="24" t="s">
        <v>1351</v>
      </c>
      <c r="AO55" s="165" t="s">
        <v>264</v>
      </c>
      <c r="AP55" s="24">
        <v>5</v>
      </c>
      <c r="AQ55" s="24">
        <v>5</v>
      </c>
      <c r="AR55" s="24">
        <v>25</v>
      </c>
      <c r="AS55" s="24">
        <v>0</v>
      </c>
      <c r="AT55" s="171">
        <v>65</v>
      </c>
      <c r="AU55" s="24">
        <v>0</v>
      </c>
      <c r="AV55" s="111">
        <f t="shared" si="4"/>
        <v>1.5384615384615383</v>
      </c>
      <c r="AW55" s="24">
        <v>1</v>
      </c>
      <c r="AX55" s="177">
        <v>1E-3</v>
      </c>
      <c r="AZ55" s="23" t="b">
        <v>0</v>
      </c>
      <c r="BA55" s="24" t="s">
        <v>1533</v>
      </c>
      <c r="BB55" s="349" t="s">
        <v>1666</v>
      </c>
      <c r="BC55" s="349" t="s">
        <v>1081</v>
      </c>
      <c r="BD55" s="350">
        <v>0.73111749999999998</v>
      </c>
      <c r="BE55" s="349" t="s">
        <v>1076</v>
      </c>
      <c r="BF55" s="143" t="s">
        <v>264</v>
      </c>
      <c r="BG55" s="143" t="s">
        <v>264</v>
      </c>
      <c r="BH55" s="143" t="s">
        <v>264</v>
      </c>
      <c r="BI55" s="143" t="s">
        <v>264</v>
      </c>
      <c r="BJ55" s="143" t="s">
        <v>264</v>
      </c>
      <c r="BK55" s="18" t="s">
        <v>1670</v>
      </c>
      <c r="BL55" s="18" t="s">
        <v>1459</v>
      </c>
      <c r="BM55" s="95"/>
      <c r="BO55" s="116" t="s">
        <v>1535</v>
      </c>
    </row>
    <row r="56" spans="1:88">
      <c r="A56" s="23" t="b">
        <v>0</v>
      </c>
      <c r="B56" s="57"/>
      <c r="C56" s="57"/>
      <c r="D56" s="23" t="b">
        <v>0</v>
      </c>
      <c r="E56" s="23" t="b">
        <v>0</v>
      </c>
      <c r="F56" s="31" t="s">
        <v>1673</v>
      </c>
      <c r="G56" s="18" t="s">
        <v>1674</v>
      </c>
      <c r="I56" s="18" t="s">
        <v>239</v>
      </c>
      <c r="J56" s="47" t="s">
        <v>598</v>
      </c>
      <c r="K56" s="47" t="s">
        <v>591</v>
      </c>
      <c r="L56" s="24" t="s">
        <v>267</v>
      </c>
      <c r="M56" s="24"/>
      <c r="N56" s="24"/>
      <c r="O56" s="24" t="s">
        <v>304</v>
      </c>
      <c r="P56" s="24"/>
      <c r="Q56" s="24">
        <v>2050</v>
      </c>
      <c r="R56" s="24" t="s">
        <v>456</v>
      </c>
      <c r="S56" s="24" t="s">
        <v>475</v>
      </c>
      <c r="U56" s="189">
        <v>9</v>
      </c>
      <c r="V56" s="24" t="str">
        <f t="shared" si="0"/>
        <v>Mature</v>
      </c>
      <c r="X56" s="23" t="b">
        <v>0</v>
      </c>
      <c r="AA56" s="24" t="s">
        <v>354</v>
      </c>
      <c r="AB56" s="24" t="s">
        <v>264</v>
      </c>
      <c r="AE56" s="184">
        <v>1</v>
      </c>
      <c r="AF56" s="24" t="s">
        <v>1351</v>
      </c>
      <c r="AG56" s="24" t="s">
        <v>420</v>
      </c>
      <c r="AH56" s="24" t="s">
        <v>420</v>
      </c>
      <c r="AI56" s="24" t="s">
        <v>420</v>
      </c>
      <c r="AJ56" s="184">
        <v>1</v>
      </c>
      <c r="AK56" s="184">
        <v>1</v>
      </c>
      <c r="AL56" s="24" t="s">
        <v>1351</v>
      </c>
      <c r="AO56" s="165" t="s">
        <v>264</v>
      </c>
      <c r="AP56" s="24">
        <v>5</v>
      </c>
      <c r="AQ56" s="24">
        <v>5</v>
      </c>
      <c r="AR56" s="24">
        <v>25</v>
      </c>
      <c r="AS56" s="24">
        <v>0</v>
      </c>
      <c r="AT56" s="171">
        <v>65</v>
      </c>
      <c r="AU56" s="24">
        <v>0</v>
      </c>
      <c r="AV56" s="111">
        <f t="shared" si="4"/>
        <v>1.5384615384615383</v>
      </c>
      <c r="AW56" s="24">
        <v>1</v>
      </c>
      <c r="AX56" s="177">
        <v>1E-3</v>
      </c>
      <c r="AZ56" s="23" t="b">
        <v>0</v>
      </c>
      <c r="BA56" s="24" t="s">
        <v>1533</v>
      </c>
      <c r="BB56" s="349" t="s">
        <v>1666</v>
      </c>
      <c r="BC56" s="349" t="s">
        <v>1081</v>
      </c>
      <c r="BD56" s="350">
        <v>0.56788470000000002</v>
      </c>
      <c r="BE56" s="349" t="s">
        <v>1077</v>
      </c>
      <c r="BF56" s="143" t="s">
        <v>264</v>
      </c>
      <c r="BG56" s="143" t="s">
        <v>264</v>
      </c>
      <c r="BH56" s="143" t="s">
        <v>264</v>
      </c>
      <c r="BI56" s="143" t="s">
        <v>264</v>
      </c>
      <c r="BJ56" s="143" t="s">
        <v>264</v>
      </c>
      <c r="BK56" s="18" t="s">
        <v>1667</v>
      </c>
      <c r="BL56" s="18" t="s">
        <v>1459</v>
      </c>
      <c r="BM56" s="95"/>
      <c r="BO56" s="116" t="s">
        <v>1535</v>
      </c>
    </row>
    <row r="57" spans="1:88">
      <c r="A57" s="23" t="b">
        <v>0</v>
      </c>
      <c r="B57" s="57"/>
      <c r="C57" s="57"/>
      <c r="D57" s="23" t="b">
        <v>0</v>
      </c>
      <c r="E57" s="23" t="b">
        <v>0</v>
      </c>
      <c r="F57" s="31" t="s">
        <v>1675</v>
      </c>
      <c r="G57" s="18" t="s">
        <v>1676</v>
      </c>
      <c r="I57" s="18" t="s">
        <v>239</v>
      </c>
      <c r="J57" s="47" t="s">
        <v>617</v>
      </c>
      <c r="K57" s="47" t="s">
        <v>968</v>
      </c>
      <c r="L57" s="24" t="s">
        <v>267</v>
      </c>
      <c r="M57" s="24"/>
      <c r="N57" s="24"/>
      <c r="O57" s="24" t="s">
        <v>304</v>
      </c>
      <c r="P57" s="24"/>
      <c r="Q57" s="24">
        <v>2020</v>
      </c>
      <c r="R57" s="24" t="s">
        <v>456</v>
      </c>
      <c r="S57" s="24" t="s">
        <v>475</v>
      </c>
      <c r="U57" s="189">
        <v>9</v>
      </c>
      <c r="V57" s="24" t="str">
        <f t="shared" si="0"/>
        <v>Mature</v>
      </c>
      <c r="X57" s="23" t="b">
        <v>0</v>
      </c>
      <c r="Y57" s="24">
        <v>0.85</v>
      </c>
      <c r="AA57" s="24" t="s">
        <v>358</v>
      </c>
      <c r="AB57" s="24" t="s">
        <v>264</v>
      </c>
      <c r="AE57" s="184">
        <v>1</v>
      </c>
      <c r="AF57" s="24" t="s">
        <v>1351</v>
      </c>
      <c r="AG57" s="24" t="s">
        <v>437</v>
      </c>
      <c r="AH57" s="24" t="s">
        <v>437</v>
      </c>
      <c r="AI57" s="24" t="s">
        <v>437</v>
      </c>
      <c r="AJ57" s="184">
        <v>0.85</v>
      </c>
      <c r="AK57" s="184">
        <v>0.85</v>
      </c>
      <c r="AL57" s="24" t="s">
        <v>1351</v>
      </c>
      <c r="AO57" s="165" t="s">
        <v>264</v>
      </c>
      <c r="AP57" s="24">
        <v>0</v>
      </c>
      <c r="AQ57" s="24">
        <v>0</v>
      </c>
      <c r="AR57" s="24">
        <v>30</v>
      </c>
      <c r="AS57" s="24">
        <v>0</v>
      </c>
      <c r="AT57" s="171">
        <v>275</v>
      </c>
      <c r="AU57" s="24">
        <v>0</v>
      </c>
      <c r="AV57" s="111">
        <f t="shared" si="4"/>
        <v>0.50909090909090904</v>
      </c>
      <c r="AW57" s="24">
        <v>1.4</v>
      </c>
      <c r="AX57" s="177">
        <v>0</v>
      </c>
      <c r="AZ57" s="23" t="b">
        <v>0</v>
      </c>
      <c r="BA57" s="24" t="s">
        <v>1533</v>
      </c>
      <c r="BB57" s="349" t="s">
        <v>1666</v>
      </c>
      <c r="BC57" s="349" t="s">
        <v>1081</v>
      </c>
      <c r="BD57" s="350">
        <v>1.2863636000000001</v>
      </c>
      <c r="BE57" s="349" t="s">
        <v>1074</v>
      </c>
      <c r="BF57" s="143" t="s">
        <v>264</v>
      </c>
      <c r="BG57" s="143" t="s">
        <v>264</v>
      </c>
      <c r="BH57" s="143" t="s">
        <v>264</v>
      </c>
      <c r="BI57" s="143" t="s">
        <v>264</v>
      </c>
      <c r="BJ57" s="143" t="s">
        <v>264</v>
      </c>
      <c r="BK57" s="18" t="s">
        <v>1677</v>
      </c>
      <c r="BL57" s="18" t="s">
        <v>1459</v>
      </c>
      <c r="BM57" s="95"/>
      <c r="BO57" s="116" t="s">
        <v>1535</v>
      </c>
    </row>
    <row r="58" spans="1:88">
      <c r="A58" s="23" t="b">
        <v>0</v>
      </c>
      <c r="B58" s="57"/>
      <c r="C58" s="57"/>
      <c r="D58" s="23" t="b">
        <v>0</v>
      </c>
      <c r="E58" s="23" t="b">
        <v>0</v>
      </c>
      <c r="F58" s="31" t="s">
        <v>1678</v>
      </c>
      <c r="G58" s="18" t="s">
        <v>1679</v>
      </c>
      <c r="I58" s="18" t="s">
        <v>239</v>
      </c>
      <c r="J58" s="47" t="s">
        <v>617</v>
      </c>
      <c r="K58" s="47" t="s">
        <v>968</v>
      </c>
      <c r="L58" s="24" t="s">
        <v>267</v>
      </c>
      <c r="M58" s="24"/>
      <c r="N58" s="24"/>
      <c r="O58" s="24" t="s">
        <v>304</v>
      </c>
      <c r="P58" s="24"/>
      <c r="Q58" s="24">
        <v>2030</v>
      </c>
      <c r="R58" s="24" t="s">
        <v>456</v>
      </c>
      <c r="S58" s="24" t="s">
        <v>475</v>
      </c>
      <c r="U58" s="189">
        <v>9</v>
      </c>
      <c r="V58" s="24" t="str">
        <f t="shared" si="0"/>
        <v>Mature</v>
      </c>
      <c r="X58" s="23" t="b">
        <v>0</v>
      </c>
      <c r="Y58" s="24">
        <v>0.85</v>
      </c>
      <c r="AA58" s="24" t="s">
        <v>358</v>
      </c>
      <c r="AB58" s="24" t="s">
        <v>264</v>
      </c>
      <c r="AE58" s="184">
        <v>1</v>
      </c>
      <c r="AF58" s="24" t="s">
        <v>1351</v>
      </c>
      <c r="AG58" s="24" t="s">
        <v>437</v>
      </c>
      <c r="AH58" s="24" t="s">
        <v>437</v>
      </c>
      <c r="AI58" s="24" t="s">
        <v>437</v>
      </c>
      <c r="AJ58" s="184">
        <v>0.85</v>
      </c>
      <c r="AK58" s="184">
        <v>0.85</v>
      </c>
      <c r="AL58" s="24" t="s">
        <v>1351</v>
      </c>
      <c r="AO58" s="165" t="s">
        <v>264</v>
      </c>
      <c r="AP58" s="24">
        <v>0</v>
      </c>
      <c r="AQ58" s="24">
        <v>0</v>
      </c>
      <c r="AR58" s="24">
        <v>30</v>
      </c>
      <c r="AS58" s="24">
        <v>0</v>
      </c>
      <c r="AT58" s="171">
        <v>275</v>
      </c>
      <c r="AU58" s="24">
        <v>0</v>
      </c>
      <c r="AV58" s="111">
        <f t="shared" si="4"/>
        <v>0.50909090909090904</v>
      </c>
      <c r="AW58" s="24">
        <v>1.4</v>
      </c>
      <c r="AX58" s="177">
        <v>0</v>
      </c>
      <c r="AZ58" s="23" t="b">
        <v>0</v>
      </c>
      <c r="BA58" s="24" t="s">
        <v>1533</v>
      </c>
      <c r="BB58" s="349" t="s">
        <v>1666</v>
      </c>
      <c r="BC58" s="349" t="s">
        <v>1081</v>
      </c>
      <c r="BD58" s="350">
        <v>1.0836896</v>
      </c>
      <c r="BE58" s="349" t="s">
        <v>1075</v>
      </c>
      <c r="BF58" s="143" t="s">
        <v>264</v>
      </c>
      <c r="BG58" s="143" t="s">
        <v>264</v>
      </c>
      <c r="BH58" s="143" t="s">
        <v>264</v>
      </c>
      <c r="BI58" s="143" t="s">
        <v>264</v>
      </c>
      <c r="BJ58" s="143" t="s">
        <v>264</v>
      </c>
      <c r="BK58" s="18" t="s">
        <v>1680</v>
      </c>
      <c r="BL58" s="18" t="s">
        <v>1459</v>
      </c>
      <c r="BM58" s="95"/>
      <c r="BO58" s="116" t="s">
        <v>1535</v>
      </c>
    </row>
    <row r="59" spans="1:88">
      <c r="A59" s="23" t="b">
        <v>0</v>
      </c>
      <c r="B59" s="57"/>
      <c r="C59" s="57"/>
      <c r="D59" s="23" t="b">
        <v>0</v>
      </c>
      <c r="E59" s="23" t="b">
        <v>0</v>
      </c>
      <c r="F59" s="31" t="s">
        <v>1681</v>
      </c>
      <c r="G59" s="18" t="s">
        <v>1682</v>
      </c>
      <c r="I59" s="18" t="s">
        <v>239</v>
      </c>
      <c r="J59" s="47" t="s">
        <v>617</v>
      </c>
      <c r="K59" s="47" t="s">
        <v>968</v>
      </c>
      <c r="L59" s="24" t="s">
        <v>267</v>
      </c>
      <c r="M59" s="24"/>
      <c r="N59" s="24"/>
      <c r="O59" s="24" t="s">
        <v>304</v>
      </c>
      <c r="P59" s="24"/>
      <c r="Q59" s="24">
        <v>2040</v>
      </c>
      <c r="R59" s="24" t="s">
        <v>456</v>
      </c>
      <c r="S59" s="24" t="s">
        <v>475</v>
      </c>
      <c r="U59" s="189">
        <v>9</v>
      </c>
      <c r="V59" s="24" t="str">
        <f t="shared" si="0"/>
        <v>Mature</v>
      </c>
      <c r="X59" s="23" t="b">
        <v>0</v>
      </c>
      <c r="Y59" s="24">
        <v>0.85</v>
      </c>
      <c r="AA59" s="24" t="s">
        <v>358</v>
      </c>
      <c r="AB59" s="24" t="s">
        <v>264</v>
      </c>
      <c r="AE59" s="184">
        <v>1</v>
      </c>
      <c r="AF59" s="24" t="s">
        <v>1351</v>
      </c>
      <c r="AG59" s="24" t="s">
        <v>437</v>
      </c>
      <c r="AH59" s="24" t="s">
        <v>437</v>
      </c>
      <c r="AI59" s="24" t="s">
        <v>437</v>
      </c>
      <c r="AJ59" s="184">
        <v>0.85</v>
      </c>
      <c r="AK59" s="184">
        <v>0.85</v>
      </c>
      <c r="AL59" s="24" t="s">
        <v>1351</v>
      </c>
      <c r="AO59" s="165" t="s">
        <v>264</v>
      </c>
      <c r="AP59" s="24">
        <v>0</v>
      </c>
      <c r="AQ59" s="24">
        <v>0</v>
      </c>
      <c r="AR59" s="24">
        <v>30</v>
      </c>
      <c r="AS59" s="24">
        <v>0</v>
      </c>
      <c r="AT59" s="171">
        <v>275</v>
      </c>
      <c r="AU59" s="24">
        <v>0</v>
      </c>
      <c r="AV59" s="111">
        <f t="shared" si="4"/>
        <v>0.50909090909090904</v>
      </c>
      <c r="AW59" s="24">
        <v>1.4</v>
      </c>
      <c r="AX59" s="177">
        <v>0</v>
      </c>
      <c r="AZ59" s="23" t="b">
        <v>0</v>
      </c>
      <c r="BA59" s="24" t="s">
        <v>1533</v>
      </c>
      <c r="BB59" s="349" t="s">
        <v>1666</v>
      </c>
      <c r="BC59" s="349" t="s">
        <v>1081</v>
      </c>
      <c r="BD59" s="350">
        <v>0.73111749999999998</v>
      </c>
      <c r="BE59" s="349" t="s">
        <v>1076</v>
      </c>
      <c r="BF59" s="143" t="s">
        <v>264</v>
      </c>
      <c r="BG59" s="143" t="s">
        <v>264</v>
      </c>
      <c r="BH59" s="143" t="s">
        <v>264</v>
      </c>
      <c r="BI59" s="143" t="s">
        <v>264</v>
      </c>
      <c r="BJ59" s="143" t="s">
        <v>264</v>
      </c>
      <c r="BK59" s="18" t="s">
        <v>1680</v>
      </c>
      <c r="BL59" s="18" t="s">
        <v>1459</v>
      </c>
      <c r="BM59" s="95"/>
      <c r="BO59" s="116" t="s">
        <v>1535</v>
      </c>
    </row>
    <row r="60" spans="1:88" s="124" customFormat="1">
      <c r="A60" s="23" t="b">
        <v>0</v>
      </c>
      <c r="B60" s="57"/>
      <c r="C60" s="57"/>
      <c r="D60" s="23" t="b">
        <v>0</v>
      </c>
      <c r="E60" s="23" t="b">
        <v>0</v>
      </c>
      <c r="F60" s="31" t="s">
        <v>1683</v>
      </c>
      <c r="G60" s="18" t="s">
        <v>1684</v>
      </c>
      <c r="H60" s="31"/>
      <c r="I60" s="18" t="s">
        <v>239</v>
      </c>
      <c r="J60" s="47" t="s">
        <v>617</v>
      </c>
      <c r="K60" s="47" t="s">
        <v>968</v>
      </c>
      <c r="L60" s="24" t="s">
        <v>267</v>
      </c>
      <c r="M60" s="24"/>
      <c r="N60" s="24"/>
      <c r="O60" s="24" t="s">
        <v>304</v>
      </c>
      <c r="P60" s="24"/>
      <c r="Q60" s="24">
        <v>2050</v>
      </c>
      <c r="R60" s="24" t="s">
        <v>456</v>
      </c>
      <c r="S60" s="24" t="s">
        <v>475</v>
      </c>
      <c r="T60" s="24"/>
      <c r="U60" s="189">
        <v>9</v>
      </c>
      <c r="V60" s="24" t="str">
        <f t="shared" si="0"/>
        <v>Mature</v>
      </c>
      <c r="W60" s="24"/>
      <c r="X60" s="23" t="b">
        <v>0</v>
      </c>
      <c r="Y60" s="24">
        <v>0.85</v>
      </c>
      <c r="Z60" s="24"/>
      <c r="AA60" s="24" t="s">
        <v>358</v>
      </c>
      <c r="AB60" s="24" t="s">
        <v>264</v>
      </c>
      <c r="AC60" s="184"/>
      <c r="AD60" s="24"/>
      <c r="AE60" s="184">
        <v>1</v>
      </c>
      <c r="AF60" s="24" t="s">
        <v>1351</v>
      </c>
      <c r="AG60" s="24" t="s">
        <v>437</v>
      </c>
      <c r="AH60" s="24" t="s">
        <v>437</v>
      </c>
      <c r="AI60" s="24" t="s">
        <v>437</v>
      </c>
      <c r="AJ60" s="184">
        <v>0.85</v>
      </c>
      <c r="AK60" s="184">
        <v>0.85</v>
      </c>
      <c r="AL60" s="24" t="s">
        <v>1351</v>
      </c>
      <c r="AM60" s="184"/>
      <c r="AN60" s="18"/>
      <c r="AO60" s="165" t="s">
        <v>264</v>
      </c>
      <c r="AP60" s="24">
        <v>0</v>
      </c>
      <c r="AQ60" s="24">
        <v>0</v>
      </c>
      <c r="AR60" s="24">
        <v>30</v>
      </c>
      <c r="AS60" s="24">
        <v>0</v>
      </c>
      <c r="AT60" s="171">
        <v>275</v>
      </c>
      <c r="AU60" s="24">
        <v>0</v>
      </c>
      <c r="AV60" s="111">
        <f t="shared" si="4"/>
        <v>0.50909090909090904</v>
      </c>
      <c r="AW60" s="24">
        <v>1.4</v>
      </c>
      <c r="AX60" s="177">
        <v>0</v>
      </c>
      <c r="AY60" s="18"/>
      <c r="AZ60" s="23" t="b">
        <v>0</v>
      </c>
      <c r="BA60" s="24" t="s">
        <v>1533</v>
      </c>
      <c r="BB60" s="349" t="s">
        <v>1666</v>
      </c>
      <c r="BC60" s="349" t="s">
        <v>1081</v>
      </c>
      <c r="BD60" s="350">
        <v>0.56788470000000002</v>
      </c>
      <c r="BE60" s="349" t="s">
        <v>1077</v>
      </c>
      <c r="BF60" s="143" t="s">
        <v>264</v>
      </c>
      <c r="BG60" s="143" t="s">
        <v>264</v>
      </c>
      <c r="BH60" s="143" t="s">
        <v>264</v>
      </c>
      <c r="BI60" s="143" t="s">
        <v>264</v>
      </c>
      <c r="BJ60" s="143" t="s">
        <v>264</v>
      </c>
      <c r="BK60" s="18" t="s">
        <v>1677</v>
      </c>
      <c r="BL60" s="18" t="s">
        <v>1459</v>
      </c>
      <c r="BM60" s="95"/>
      <c r="BN60" s="18"/>
      <c r="BO60" s="116" t="s">
        <v>1535</v>
      </c>
      <c r="CC60" s="18"/>
      <c r="CD60" s="18"/>
      <c r="CE60" s="18"/>
      <c r="CI60" s="18"/>
      <c r="CJ60" s="18"/>
    </row>
    <row r="61" spans="1:88" s="124" customFormat="1" ht="31.2">
      <c r="A61" s="23" t="b">
        <v>0</v>
      </c>
      <c r="B61" s="57" t="s">
        <v>1443</v>
      </c>
      <c r="C61" s="57"/>
      <c r="D61" s="23" t="b">
        <v>0</v>
      </c>
      <c r="E61" s="23" t="b">
        <v>0</v>
      </c>
      <c r="F61" s="31" t="s">
        <v>1685</v>
      </c>
      <c r="G61" s="18" t="s">
        <v>1686</v>
      </c>
      <c r="H61" s="31"/>
      <c r="I61" s="18" t="s">
        <v>233</v>
      </c>
      <c r="J61" s="47" t="str">
        <f>IFERROR(VLOOKUP(F61,#REF!,2,FALSE),"Not in Tech description")</f>
        <v>Not in Tech description</v>
      </c>
      <c r="K61" t="s">
        <v>806</v>
      </c>
      <c r="L61" s="24" t="s">
        <v>258</v>
      </c>
      <c r="M61" s="24" t="s">
        <v>274</v>
      </c>
      <c r="N61" s="24" t="s">
        <v>299</v>
      </c>
      <c r="O61" s="24" t="s">
        <v>628</v>
      </c>
      <c r="P61" s="24"/>
      <c r="Q61" s="24">
        <v>2020</v>
      </c>
      <c r="R61" s="24" t="s">
        <v>456</v>
      </c>
      <c r="S61" s="24" t="s">
        <v>475</v>
      </c>
      <c r="T61" s="24"/>
      <c r="U61" s="189">
        <v>9</v>
      </c>
      <c r="V61" s="24" t="str">
        <f t="shared" si="0"/>
        <v>Mature</v>
      </c>
      <c r="W61" s="24"/>
      <c r="X61" s="23" t="b">
        <v>0</v>
      </c>
      <c r="Y61" s="24">
        <v>0.99</v>
      </c>
      <c r="Z61" s="24"/>
      <c r="AA61" s="24" t="s">
        <v>346</v>
      </c>
      <c r="AB61" s="24" t="s">
        <v>264</v>
      </c>
      <c r="AC61" s="184"/>
      <c r="AD61" s="24"/>
      <c r="AE61" s="184">
        <v>1</v>
      </c>
      <c r="AF61" s="24" t="s">
        <v>1351</v>
      </c>
      <c r="AG61" s="24" t="s">
        <v>352</v>
      </c>
      <c r="AH61" s="24" t="s">
        <v>352</v>
      </c>
      <c r="AI61" s="18" t="str">
        <f t="shared" ref="AI61:AI72" si="5">AG61</f>
        <v>El47</v>
      </c>
      <c r="AJ61" s="184">
        <f t="shared" ref="AJ61:AK64" si="6">Y61</f>
        <v>0.99</v>
      </c>
      <c r="AK61" s="184">
        <f t="shared" si="6"/>
        <v>0</v>
      </c>
      <c r="AL61" s="18" t="s">
        <v>1351</v>
      </c>
      <c r="AM61" s="184"/>
      <c r="AN61" s="18"/>
      <c r="AO61" s="194" t="s">
        <v>264</v>
      </c>
      <c r="AP61" s="24">
        <v>0</v>
      </c>
      <c r="AQ61" s="24">
        <v>0</v>
      </c>
      <c r="AR61" s="24">
        <v>35</v>
      </c>
      <c r="AS61" s="24">
        <v>0</v>
      </c>
      <c r="AT61" s="27">
        <v>354</v>
      </c>
      <c r="AU61" s="24">
        <v>10</v>
      </c>
      <c r="AV61" s="74">
        <f t="shared" ref="AV61:AV72" si="7">AU61/AT61*100</f>
        <v>2.8248587570621471</v>
      </c>
      <c r="AW61" s="24">
        <v>0</v>
      </c>
      <c r="AX61" s="177">
        <v>1E-3</v>
      </c>
      <c r="AY61" s="18"/>
      <c r="AZ61" s="23" t="b">
        <v>0</v>
      </c>
      <c r="BA61" s="24" t="s">
        <v>1533</v>
      </c>
      <c r="BB61" s="349" t="s">
        <v>1687</v>
      </c>
      <c r="BC61" s="349" t="s">
        <v>1089</v>
      </c>
      <c r="BD61" s="350">
        <v>1.4215357</v>
      </c>
      <c r="BE61" s="349" t="s">
        <v>1074</v>
      </c>
      <c r="BF61" s="143" t="s">
        <v>264</v>
      </c>
      <c r="BG61" s="143" t="s">
        <v>264</v>
      </c>
      <c r="BH61" s="143" t="s">
        <v>264</v>
      </c>
      <c r="BI61" s="143" t="s">
        <v>264</v>
      </c>
      <c r="BJ61" s="143" t="s">
        <v>264</v>
      </c>
      <c r="BK61" s="18" t="s">
        <v>1647</v>
      </c>
      <c r="BL61" s="18" t="s">
        <v>1459</v>
      </c>
      <c r="BM61" s="105" t="s">
        <v>1688</v>
      </c>
      <c r="BN61" s="18"/>
      <c r="BO61" s="137" t="s">
        <v>1464</v>
      </c>
      <c r="CC61" s="18"/>
      <c r="CD61" s="18"/>
      <c r="CE61" s="18"/>
      <c r="CI61" s="18"/>
      <c r="CJ61" s="18"/>
    </row>
    <row r="62" spans="1:88" s="124" customFormat="1" ht="31.2">
      <c r="A62" s="23" t="b">
        <v>0</v>
      </c>
      <c r="B62" s="57" t="s">
        <v>1443</v>
      </c>
      <c r="C62" s="57"/>
      <c r="D62" s="23" t="b">
        <v>0</v>
      </c>
      <c r="E62" s="23" t="b">
        <v>0</v>
      </c>
      <c r="F62" s="31" t="s">
        <v>1689</v>
      </c>
      <c r="G62" s="18" t="s">
        <v>1690</v>
      </c>
      <c r="H62" s="31"/>
      <c r="I62" s="18" t="s">
        <v>233</v>
      </c>
      <c r="J62" s="47" t="str">
        <f>IFERROR(VLOOKUP(F62,#REF!,2,FALSE),"Not in Tech description")</f>
        <v>Not in Tech description</v>
      </c>
      <c r="K62" t="s">
        <v>806</v>
      </c>
      <c r="L62" s="24" t="s">
        <v>258</v>
      </c>
      <c r="M62" s="24" t="s">
        <v>274</v>
      </c>
      <c r="N62" s="24" t="s">
        <v>299</v>
      </c>
      <c r="O62" s="24" t="s">
        <v>628</v>
      </c>
      <c r="P62" s="24"/>
      <c r="Q62" s="24">
        <v>2030</v>
      </c>
      <c r="R62" s="24" t="s">
        <v>456</v>
      </c>
      <c r="S62" s="24" t="s">
        <v>475</v>
      </c>
      <c r="T62" s="24"/>
      <c r="U62" s="189">
        <v>9</v>
      </c>
      <c r="V62" s="24" t="str">
        <f t="shared" si="0"/>
        <v>Mature</v>
      </c>
      <c r="W62" s="24"/>
      <c r="X62" s="23" t="b">
        <v>0</v>
      </c>
      <c r="Y62" s="24">
        <v>0.99</v>
      </c>
      <c r="Z62" s="24"/>
      <c r="AA62" s="24" t="s">
        <v>346</v>
      </c>
      <c r="AB62" s="24" t="s">
        <v>264</v>
      </c>
      <c r="AC62" s="184"/>
      <c r="AD62" s="24"/>
      <c r="AE62" s="184">
        <v>1</v>
      </c>
      <c r="AF62" s="24" t="s">
        <v>1351</v>
      </c>
      <c r="AG62" s="24" t="s">
        <v>352</v>
      </c>
      <c r="AH62" s="24" t="s">
        <v>352</v>
      </c>
      <c r="AI62" s="18" t="str">
        <f t="shared" si="5"/>
        <v>El47</v>
      </c>
      <c r="AJ62" s="184">
        <f t="shared" si="6"/>
        <v>0.99</v>
      </c>
      <c r="AK62" s="184">
        <f t="shared" si="6"/>
        <v>0</v>
      </c>
      <c r="AL62" s="18" t="s">
        <v>1351</v>
      </c>
      <c r="AM62" s="184"/>
      <c r="AN62" s="18"/>
      <c r="AO62" s="194" t="s">
        <v>264</v>
      </c>
      <c r="AP62" s="24">
        <v>0</v>
      </c>
      <c r="AQ62" s="24">
        <v>0</v>
      </c>
      <c r="AR62" s="24">
        <v>35</v>
      </c>
      <c r="AS62" s="24">
        <v>0</v>
      </c>
      <c r="AT62" s="27">
        <f>AT61+(AT64-AT61)/30*10</f>
        <v>472.33333333333337</v>
      </c>
      <c r="AU62" s="111">
        <f>+$AU$5+($AU$8-$AU$5)/30*10</f>
        <v>0</v>
      </c>
      <c r="AV62" s="74">
        <f t="shared" si="7"/>
        <v>0</v>
      </c>
      <c r="AW62" s="24">
        <v>0</v>
      </c>
      <c r="AX62" s="177">
        <v>1E-3</v>
      </c>
      <c r="AY62" s="18"/>
      <c r="AZ62" s="23" t="b">
        <v>0</v>
      </c>
      <c r="BA62" s="24" t="s">
        <v>1533</v>
      </c>
      <c r="BB62" s="349" t="s">
        <v>1687</v>
      </c>
      <c r="BC62" s="349" t="s">
        <v>1089</v>
      </c>
      <c r="BD62" s="350">
        <v>1.0527591999999999</v>
      </c>
      <c r="BE62" s="349" t="s">
        <v>1076</v>
      </c>
      <c r="BF62" s="143" t="s">
        <v>264</v>
      </c>
      <c r="BG62" s="143" t="s">
        <v>264</v>
      </c>
      <c r="BH62" s="143" t="s">
        <v>264</v>
      </c>
      <c r="BI62" s="143" t="s">
        <v>264</v>
      </c>
      <c r="BJ62" s="143" t="s">
        <v>264</v>
      </c>
      <c r="BK62" s="18" t="s">
        <v>1691</v>
      </c>
      <c r="BL62" s="18" t="s">
        <v>1459</v>
      </c>
      <c r="BM62" s="105" t="s">
        <v>1688</v>
      </c>
      <c r="BN62" s="18"/>
      <c r="BO62" s="137" t="s">
        <v>1464</v>
      </c>
      <c r="CC62" s="18"/>
      <c r="CD62" s="18"/>
      <c r="CE62" s="18"/>
      <c r="CI62" s="18"/>
      <c r="CJ62" s="18"/>
    </row>
    <row r="63" spans="1:88" ht="31.2">
      <c r="A63" s="23" t="b">
        <v>0</v>
      </c>
      <c r="B63" s="57" t="s">
        <v>1443</v>
      </c>
      <c r="C63" s="57"/>
      <c r="D63" s="23" t="b">
        <v>0</v>
      </c>
      <c r="E63" s="23" t="b">
        <v>0</v>
      </c>
      <c r="F63" s="31" t="s">
        <v>1692</v>
      </c>
      <c r="G63" s="18" t="s">
        <v>1693</v>
      </c>
      <c r="I63" s="18" t="s">
        <v>233</v>
      </c>
      <c r="J63" s="47" t="str">
        <f>IFERROR(VLOOKUP(F63,#REF!,2,FALSE),"Not in Tech description")</f>
        <v>Not in Tech description</v>
      </c>
      <c r="K63" t="s">
        <v>806</v>
      </c>
      <c r="L63" s="24" t="s">
        <v>258</v>
      </c>
      <c r="M63" s="24" t="s">
        <v>274</v>
      </c>
      <c r="N63" s="24" t="s">
        <v>299</v>
      </c>
      <c r="O63" s="24" t="s">
        <v>628</v>
      </c>
      <c r="P63" s="24"/>
      <c r="Q63" s="24">
        <v>2040</v>
      </c>
      <c r="R63" s="24" t="s">
        <v>456</v>
      </c>
      <c r="S63" s="24" t="s">
        <v>475</v>
      </c>
      <c r="U63" s="189">
        <v>9</v>
      </c>
      <c r="V63" s="24" t="str">
        <f t="shared" si="0"/>
        <v>Mature</v>
      </c>
      <c r="X63" s="23" t="b">
        <v>0</v>
      </c>
      <c r="Y63" s="24">
        <v>0.99</v>
      </c>
      <c r="AA63" s="24" t="s">
        <v>346</v>
      </c>
      <c r="AB63" s="24" t="s">
        <v>264</v>
      </c>
      <c r="AE63" s="184">
        <v>1</v>
      </c>
      <c r="AF63" s="24" t="s">
        <v>1351</v>
      </c>
      <c r="AG63" s="24" t="s">
        <v>352</v>
      </c>
      <c r="AH63" s="24" t="s">
        <v>352</v>
      </c>
      <c r="AI63" s="18" t="str">
        <f t="shared" si="5"/>
        <v>El47</v>
      </c>
      <c r="AJ63" s="184">
        <f t="shared" si="6"/>
        <v>0.99</v>
      </c>
      <c r="AK63" s="184">
        <f t="shared" si="6"/>
        <v>0</v>
      </c>
      <c r="AL63" s="18" t="s">
        <v>1351</v>
      </c>
      <c r="AO63" s="194" t="s">
        <v>264</v>
      </c>
      <c r="AP63" s="24">
        <v>0</v>
      </c>
      <c r="AQ63" s="24">
        <v>0</v>
      </c>
      <c r="AR63" s="24">
        <v>35</v>
      </c>
      <c r="AS63" s="24">
        <v>0</v>
      </c>
      <c r="AT63" s="27">
        <f>AT61+(AT64-AT61)/30*20</f>
        <v>590.66666666666674</v>
      </c>
      <c r="AU63" s="111">
        <f>+$AU$5+($AU$8-$AU$5)/30*20</f>
        <v>0</v>
      </c>
      <c r="AV63" s="74">
        <f t="shared" si="7"/>
        <v>0</v>
      </c>
      <c r="AW63" s="24">
        <v>0</v>
      </c>
      <c r="AX63" s="177">
        <v>1E-3</v>
      </c>
      <c r="AZ63" s="23" t="b">
        <v>0</v>
      </c>
      <c r="BA63" s="24" t="s">
        <v>1533</v>
      </c>
      <c r="BB63" s="349" t="s">
        <v>1687</v>
      </c>
      <c r="BC63" s="349" t="s">
        <v>1089</v>
      </c>
      <c r="BD63" s="350">
        <v>1.2753255999999999</v>
      </c>
      <c r="BE63" s="349" t="s">
        <v>1075</v>
      </c>
      <c r="BF63" s="143" t="s">
        <v>264</v>
      </c>
      <c r="BG63" s="143" t="s">
        <v>264</v>
      </c>
      <c r="BH63" s="143" t="s">
        <v>264</v>
      </c>
      <c r="BI63" s="143" t="s">
        <v>264</v>
      </c>
      <c r="BJ63" s="143" t="s">
        <v>264</v>
      </c>
      <c r="BK63" s="18" t="s">
        <v>1691</v>
      </c>
      <c r="BL63" s="18" t="s">
        <v>1459</v>
      </c>
      <c r="BM63" s="105" t="s">
        <v>1688</v>
      </c>
      <c r="BO63" s="137" t="s">
        <v>1464</v>
      </c>
      <c r="BP63" s="18">
        <v>2700</v>
      </c>
      <c r="BQ63" s="18" t="s">
        <v>1571</v>
      </c>
      <c r="BR63" s="18">
        <v>81</v>
      </c>
      <c r="BS63" s="18" t="s">
        <v>1571</v>
      </c>
    </row>
    <row r="64" spans="1:88" ht="31.2">
      <c r="A64" s="23" t="b">
        <v>0</v>
      </c>
      <c r="B64" s="57" t="s">
        <v>1443</v>
      </c>
      <c r="C64" s="57"/>
      <c r="D64" s="23" t="b">
        <v>0</v>
      </c>
      <c r="E64" s="23" t="b">
        <v>0</v>
      </c>
      <c r="F64" s="31" t="s">
        <v>1694</v>
      </c>
      <c r="G64" s="18" t="s">
        <v>1695</v>
      </c>
      <c r="I64" s="18" t="s">
        <v>233</v>
      </c>
      <c r="J64" s="47" t="str">
        <f>IFERROR(VLOOKUP(F64,#REF!,2,FALSE),"Not in Tech description")</f>
        <v>Not in Tech description</v>
      </c>
      <c r="K64" t="s">
        <v>806</v>
      </c>
      <c r="L64" s="24" t="s">
        <v>258</v>
      </c>
      <c r="M64" s="24" t="s">
        <v>274</v>
      </c>
      <c r="N64" s="24" t="s">
        <v>299</v>
      </c>
      <c r="O64" s="24" t="s">
        <v>628</v>
      </c>
      <c r="P64" s="24"/>
      <c r="Q64" s="24">
        <v>2050</v>
      </c>
      <c r="R64" s="24" t="s">
        <v>456</v>
      </c>
      <c r="S64" s="24" t="s">
        <v>475</v>
      </c>
      <c r="U64" s="189">
        <v>9</v>
      </c>
      <c r="V64" s="24" t="str">
        <f t="shared" si="0"/>
        <v>Mature</v>
      </c>
      <c r="X64" s="23" t="b">
        <v>0</v>
      </c>
      <c r="Y64" s="24">
        <v>0.99</v>
      </c>
      <c r="AA64" s="24" t="s">
        <v>346</v>
      </c>
      <c r="AB64" s="24" t="s">
        <v>264</v>
      </c>
      <c r="AE64" s="184">
        <v>1</v>
      </c>
      <c r="AF64" s="24" t="s">
        <v>1351</v>
      </c>
      <c r="AG64" s="24" t="s">
        <v>352</v>
      </c>
      <c r="AH64" s="24" t="s">
        <v>352</v>
      </c>
      <c r="AI64" s="18" t="str">
        <f t="shared" si="5"/>
        <v>El47</v>
      </c>
      <c r="AJ64" s="184">
        <f t="shared" si="6"/>
        <v>0.99</v>
      </c>
      <c r="AK64" s="184">
        <f t="shared" si="6"/>
        <v>0</v>
      </c>
      <c r="AL64" s="18" t="s">
        <v>1351</v>
      </c>
      <c r="AO64" s="194" t="s">
        <v>264</v>
      </c>
      <c r="AP64" s="24">
        <v>0</v>
      </c>
      <c r="AQ64" s="24">
        <v>0</v>
      </c>
      <c r="AR64" s="24">
        <v>35</v>
      </c>
      <c r="AS64" s="24">
        <v>0</v>
      </c>
      <c r="AT64" s="27">
        <v>709</v>
      </c>
      <c r="AU64" s="24">
        <v>21</v>
      </c>
      <c r="AV64" s="74">
        <f t="shared" si="7"/>
        <v>2.9619181946403383</v>
      </c>
      <c r="AW64" s="24">
        <v>0</v>
      </c>
      <c r="AX64" s="177">
        <v>1E-3</v>
      </c>
      <c r="AZ64" s="23" t="b">
        <v>0</v>
      </c>
      <c r="BA64" s="24" t="s">
        <v>1533</v>
      </c>
      <c r="BB64" s="349" t="s">
        <v>1687</v>
      </c>
      <c r="BC64" s="349" t="s">
        <v>1089</v>
      </c>
      <c r="BD64" s="350">
        <v>0.95607019999999998</v>
      </c>
      <c r="BE64" s="349" t="s">
        <v>1077</v>
      </c>
      <c r="BF64" s="143" t="s">
        <v>264</v>
      </c>
      <c r="BG64" s="143" t="s">
        <v>264</v>
      </c>
      <c r="BH64" s="143" t="s">
        <v>264</v>
      </c>
      <c r="BI64" s="143" t="s">
        <v>264</v>
      </c>
      <c r="BJ64" s="143" t="s">
        <v>264</v>
      </c>
      <c r="BK64" s="18" t="s">
        <v>1647</v>
      </c>
      <c r="BL64" s="18" t="s">
        <v>1459</v>
      </c>
      <c r="BM64" s="105" t="s">
        <v>1688</v>
      </c>
      <c r="BO64" s="137" t="s">
        <v>1464</v>
      </c>
      <c r="BP64" s="18">
        <v>2700</v>
      </c>
      <c r="BQ64" s="18" t="s">
        <v>1571</v>
      </c>
      <c r="BR64" s="18">
        <v>81</v>
      </c>
      <c r="BS64" s="18" t="s">
        <v>1571</v>
      </c>
    </row>
    <row r="65" spans="1:71" ht="31.2">
      <c r="A65" s="23" t="b">
        <v>0</v>
      </c>
      <c r="B65" s="57" t="s">
        <v>1443</v>
      </c>
      <c r="C65" s="57"/>
      <c r="D65" s="23" t="b">
        <v>0</v>
      </c>
      <c r="E65" s="23" t="b">
        <v>0</v>
      </c>
      <c r="F65" s="31" t="s">
        <v>1696</v>
      </c>
      <c r="G65" s="18" t="s">
        <v>1697</v>
      </c>
      <c r="I65" s="18" t="s">
        <v>233</v>
      </c>
      <c r="J65" s="47" t="s">
        <v>535</v>
      </c>
      <c r="K65" t="s">
        <v>274</v>
      </c>
      <c r="L65" s="24" t="s">
        <v>258</v>
      </c>
      <c r="M65" s="24" t="s">
        <v>274</v>
      </c>
      <c r="N65" s="24" t="s">
        <v>291</v>
      </c>
      <c r="O65" s="24" t="s">
        <v>628</v>
      </c>
      <c r="P65" s="24"/>
      <c r="Q65" s="24">
        <v>2020</v>
      </c>
      <c r="R65" s="24" t="s">
        <v>456</v>
      </c>
      <c r="S65" s="24" t="s">
        <v>475</v>
      </c>
      <c r="U65" s="189">
        <v>9</v>
      </c>
      <c r="V65" s="24" t="str">
        <f t="shared" si="0"/>
        <v>Mature</v>
      </c>
      <c r="X65" s="23" t="b">
        <v>0</v>
      </c>
      <c r="Y65" s="24">
        <v>0.96</v>
      </c>
      <c r="AA65" s="24" t="s">
        <v>352</v>
      </c>
      <c r="AB65" s="18" t="s">
        <v>264</v>
      </c>
      <c r="AE65" s="184">
        <v>1</v>
      </c>
      <c r="AF65" s="24" t="s">
        <v>1351</v>
      </c>
      <c r="AG65" s="24" t="s">
        <v>354</v>
      </c>
      <c r="AH65" s="24" t="s">
        <v>354</v>
      </c>
      <c r="AI65" s="18" t="str">
        <f t="shared" si="5"/>
        <v>ElBdg</v>
      </c>
      <c r="AJ65" s="184">
        <v>0.96</v>
      </c>
      <c r="AK65" s="184">
        <v>0.96</v>
      </c>
      <c r="AL65" s="18" t="s">
        <v>1351</v>
      </c>
      <c r="AO65" s="194" t="s">
        <v>264</v>
      </c>
      <c r="AP65" s="24">
        <v>0</v>
      </c>
      <c r="AQ65" s="24">
        <v>0</v>
      </c>
      <c r="AR65" s="24">
        <v>40</v>
      </c>
      <c r="AS65" s="24">
        <v>0</v>
      </c>
      <c r="AT65" s="27">
        <v>1459</v>
      </c>
      <c r="AU65" s="24">
        <v>67</v>
      </c>
      <c r="AV65" s="74">
        <f t="shared" si="7"/>
        <v>4.5921864290610008</v>
      </c>
      <c r="AW65" s="24">
        <v>0</v>
      </c>
      <c r="AX65" s="177">
        <v>1E-3</v>
      </c>
      <c r="AZ65" s="23" t="b">
        <v>0</v>
      </c>
      <c r="BA65" s="24" t="s">
        <v>1533</v>
      </c>
      <c r="BB65" s="349" t="s">
        <v>1698</v>
      </c>
      <c r="BC65" s="349" t="s">
        <v>1179</v>
      </c>
      <c r="BD65" s="350">
        <v>43028.335137399998</v>
      </c>
      <c r="BE65" s="349" t="s">
        <v>1074</v>
      </c>
      <c r="BF65" s="143" t="s">
        <v>264</v>
      </c>
      <c r="BG65" s="143" t="s">
        <v>264</v>
      </c>
      <c r="BH65" s="143" t="s">
        <v>264</v>
      </c>
      <c r="BI65" s="143" t="s">
        <v>264</v>
      </c>
      <c r="BJ65" s="143" t="s">
        <v>264</v>
      </c>
      <c r="BK65" s="18" t="s">
        <v>1647</v>
      </c>
      <c r="BL65" s="18" t="s">
        <v>1459</v>
      </c>
      <c r="BM65" s="105" t="s">
        <v>1653</v>
      </c>
      <c r="BO65" s="137" t="s">
        <v>1464</v>
      </c>
      <c r="BP65" s="18">
        <v>2700</v>
      </c>
      <c r="BQ65" s="18" t="s">
        <v>1571</v>
      </c>
      <c r="BR65" s="18">
        <v>81</v>
      </c>
      <c r="BS65" s="18" t="s">
        <v>1571</v>
      </c>
    </row>
    <row r="66" spans="1:71" ht="31.2">
      <c r="A66" s="23" t="b">
        <v>0</v>
      </c>
      <c r="B66" s="57" t="s">
        <v>1443</v>
      </c>
      <c r="C66" s="57"/>
      <c r="D66" s="23" t="b">
        <v>0</v>
      </c>
      <c r="E66" s="23" t="b">
        <v>0</v>
      </c>
      <c r="F66" s="31" t="s">
        <v>1699</v>
      </c>
      <c r="G66" s="18" t="s">
        <v>1700</v>
      </c>
      <c r="I66" s="18" t="s">
        <v>233</v>
      </c>
      <c r="J66" s="47" t="s">
        <v>535</v>
      </c>
      <c r="K66" t="s">
        <v>274</v>
      </c>
      <c r="L66" s="24" t="s">
        <v>258</v>
      </c>
      <c r="M66" s="24" t="s">
        <v>274</v>
      </c>
      <c r="N66" s="24" t="s">
        <v>291</v>
      </c>
      <c r="O66" s="24" t="s">
        <v>628</v>
      </c>
      <c r="P66" s="24"/>
      <c r="Q66" s="24">
        <v>2030</v>
      </c>
      <c r="R66" s="24" t="s">
        <v>456</v>
      </c>
      <c r="S66" s="24" t="s">
        <v>475</v>
      </c>
      <c r="U66" s="189">
        <v>9</v>
      </c>
      <c r="V66" s="24" t="str">
        <f t="shared" si="0"/>
        <v>Mature</v>
      </c>
      <c r="X66" s="23" t="b">
        <v>0</v>
      </c>
      <c r="Y66" s="24">
        <v>0.96</v>
      </c>
      <c r="AA66" s="24" t="s">
        <v>352</v>
      </c>
      <c r="AB66" s="18" t="s">
        <v>264</v>
      </c>
      <c r="AE66" s="184">
        <v>1</v>
      </c>
      <c r="AF66" s="24" t="s">
        <v>1351</v>
      </c>
      <c r="AG66" s="24" t="s">
        <v>354</v>
      </c>
      <c r="AH66" s="24" t="s">
        <v>354</v>
      </c>
      <c r="AI66" s="18" t="str">
        <f t="shared" si="5"/>
        <v>ElBdg</v>
      </c>
      <c r="AJ66" s="184">
        <v>0.96</v>
      </c>
      <c r="AK66" s="184">
        <v>0.96</v>
      </c>
      <c r="AL66" s="18" t="s">
        <v>1351</v>
      </c>
      <c r="AO66" s="194" t="s">
        <v>264</v>
      </c>
      <c r="AP66" s="24">
        <v>0</v>
      </c>
      <c r="AQ66" s="24">
        <v>0</v>
      </c>
      <c r="AR66" s="24">
        <v>40</v>
      </c>
      <c r="AS66" s="24">
        <v>0</v>
      </c>
      <c r="AT66" s="27" t="e">
        <f>+$AT$11+($AT$14-$AT$11)/30*10</f>
        <v>#VALUE!</v>
      </c>
      <c r="AU66" s="27">
        <f>+$AU$11+($AU$14-$AU$11)/30*10</f>
        <v>0</v>
      </c>
      <c r="AV66" s="74" t="e">
        <f t="shared" si="7"/>
        <v>#VALUE!</v>
      </c>
      <c r="AW66" s="24">
        <v>0</v>
      </c>
      <c r="AX66" s="177">
        <v>1E-3</v>
      </c>
      <c r="AZ66" s="23" t="b">
        <v>0</v>
      </c>
      <c r="BA66" s="24" t="s">
        <v>1533</v>
      </c>
      <c r="BB66" s="349" t="s">
        <v>1698</v>
      </c>
      <c r="BC66" s="349" t="s">
        <v>1179</v>
      </c>
      <c r="BD66" s="350">
        <v>36510.221713200001</v>
      </c>
      <c r="BE66" s="349" t="s">
        <v>1075</v>
      </c>
      <c r="BF66" s="143" t="s">
        <v>264</v>
      </c>
      <c r="BG66" s="143" t="s">
        <v>264</v>
      </c>
      <c r="BH66" s="143" t="s">
        <v>264</v>
      </c>
      <c r="BI66" s="143" t="s">
        <v>264</v>
      </c>
      <c r="BJ66" s="143" t="s">
        <v>264</v>
      </c>
      <c r="BK66" s="18" t="s">
        <v>1691</v>
      </c>
      <c r="BL66" s="18" t="s">
        <v>1459</v>
      </c>
      <c r="BM66" s="105" t="s">
        <v>1653</v>
      </c>
      <c r="BO66" s="137" t="s">
        <v>1464</v>
      </c>
      <c r="BP66" s="18">
        <v>2700</v>
      </c>
      <c r="BQ66" s="18" t="s">
        <v>1571</v>
      </c>
      <c r="BR66" s="18">
        <v>81</v>
      </c>
      <c r="BS66" s="18" t="s">
        <v>1571</v>
      </c>
    </row>
    <row r="67" spans="1:71" s="159" customFormat="1" ht="31.2">
      <c r="A67" s="23" t="b">
        <v>0</v>
      </c>
      <c r="B67" s="57" t="s">
        <v>1443</v>
      </c>
      <c r="C67" s="57"/>
      <c r="D67" s="23" t="b">
        <v>0</v>
      </c>
      <c r="E67" s="23" t="b">
        <v>0</v>
      </c>
      <c r="F67" s="31" t="s">
        <v>1701</v>
      </c>
      <c r="G67" s="18" t="s">
        <v>1702</v>
      </c>
      <c r="H67" s="31"/>
      <c r="I67" s="18" t="s">
        <v>233</v>
      </c>
      <c r="J67" s="47" t="s">
        <v>535</v>
      </c>
      <c r="K67" t="s">
        <v>274</v>
      </c>
      <c r="L67" s="24" t="s">
        <v>258</v>
      </c>
      <c r="M67" s="24" t="s">
        <v>274</v>
      </c>
      <c r="N67" s="24" t="s">
        <v>291</v>
      </c>
      <c r="O67" s="24" t="s">
        <v>628</v>
      </c>
      <c r="P67" s="24"/>
      <c r="Q67" s="24">
        <v>2040</v>
      </c>
      <c r="R67" s="24" t="s">
        <v>456</v>
      </c>
      <c r="S67" s="24" t="s">
        <v>475</v>
      </c>
      <c r="T67" s="24"/>
      <c r="U67" s="189">
        <v>9</v>
      </c>
      <c r="V67" s="24" t="str">
        <f t="shared" si="0"/>
        <v>Mature</v>
      </c>
      <c r="W67" s="24"/>
      <c r="X67" s="23" t="b">
        <v>0</v>
      </c>
      <c r="Y67" s="24">
        <v>0.96</v>
      </c>
      <c r="Z67" s="24"/>
      <c r="AA67" s="24" t="s">
        <v>352</v>
      </c>
      <c r="AB67" s="18" t="s">
        <v>264</v>
      </c>
      <c r="AC67" s="184"/>
      <c r="AD67" s="24"/>
      <c r="AE67" s="184">
        <v>1</v>
      </c>
      <c r="AF67" s="24" t="s">
        <v>1351</v>
      </c>
      <c r="AG67" s="24" t="s">
        <v>354</v>
      </c>
      <c r="AH67" s="24" t="s">
        <v>354</v>
      </c>
      <c r="AI67" s="18" t="str">
        <f t="shared" si="5"/>
        <v>ElBdg</v>
      </c>
      <c r="AJ67" s="184">
        <v>0.96</v>
      </c>
      <c r="AK67" s="184">
        <v>0.96</v>
      </c>
      <c r="AL67" s="18" t="s">
        <v>1351</v>
      </c>
      <c r="AM67" s="184"/>
      <c r="AN67" s="18"/>
      <c r="AO67" s="194" t="s">
        <v>264</v>
      </c>
      <c r="AP67" s="24">
        <v>0</v>
      </c>
      <c r="AQ67" s="24">
        <v>0</v>
      </c>
      <c r="AR67" s="24">
        <v>40</v>
      </c>
      <c r="AS67" s="24">
        <v>0</v>
      </c>
      <c r="AT67" s="27" t="e">
        <f>+$AT$11+($AT$14-$AT$11)/30*20</f>
        <v>#VALUE!</v>
      </c>
      <c r="AU67" s="27">
        <f>+$AU$11+($AU$14-$AU$11)/30*20</f>
        <v>0</v>
      </c>
      <c r="AV67" s="74" t="e">
        <f t="shared" si="7"/>
        <v>#VALUE!</v>
      </c>
      <c r="AW67" s="24">
        <v>0</v>
      </c>
      <c r="AX67" s="177">
        <v>1E-3</v>
      </c>
      <c r="AY67" s="18"/>
      <c r="AZ67" s="23" t="b">
        <v>0</v>
      </c>
      <c r="BA67" s="24" t="s">
        <v>1533</v>
      </c>
      <c r="BB67" s="349" t="s">
        <v>1698</v>
      </c>
      <c r="BC67" s="349" t="s">
        <v>1179</v>
      </c>
      <c r="BD67" s="350">
        <v>25695.905521600002</v>
      </c>
      <c r="BE67" s="349" t="s">
        <v>1076</v>
      </c>
      <c r="BF67" s="143" t="s">
        <v>264</v>
      </c>
      <c r="BG67" s="143" t="s">
        <v>264</v>
      </c>
      <c r="BH67" s="143" t="s">
        <v>264</v>
      </c>
      <c r="BI67" s="143" t="s">
        <v>264</v>
      </c>
      <c r="BJ67" s="143" t="s">
        <v>264</v>
      </c>
      <c r="BK67" s="18" t="s">
        <v>1691</v>
      </c>
      <c r="BL67" s="18" t="s">
        <v>1459</v>
      </c>
      <c r="BM67" s="105" t="s">
        <v>1653</v>
      </c>
      <c r="BN67" s="18"/>
      <c r="BO67" s="137" t="s">
        <v>1464</v>
      </c>
    </row>
    <row r="68" spans="1:71" s="159" customFormat="1" ht="31.2">
      <c r="A68" s="23" t="b">
        <v>0</v>
      </c>
      <c r="B68" s="57" t="s">
        <v>1443</v>
      </c>
      <c r="C68" s="57"/>
      <c r="D68" s="23" t="b">
        <v>0</v>
      </c>
      <c r="E68" s="23" t="b">
        <v>0</v>
      </c>
      <c r="F68" s="31" t="s">
        <v>1703</v>
      </c>
      <c r="G68" s="18" t="s">
        <v>1704</v>
      </c>
      <c r="H68" s="31"/>
      <c r="I68" s="18" t="s">
        <v>233</v>
      </c>
      <c r="J68" s="47" t="s">
        <v>535</v>
      </c>
      <c r="K68" t="s">
        <v>274</v>
      </c>
      <c r="L68" s="24" t="s">
        <v>258</v>
      </c>
      <c r="M68" s="24" t="s">
        <v>274</v>
      </c>
      <c r="N68" s="24" t="s">
        <v>291</v>
      </c>
      <c r="O68" s="24" t="s">
        <v>628</v>
      </c>
      <c r="P68" s="24"/>
      <c r="Q68" s="24">
        <v>2050</v>
      </c>
      <c r="R68" s="24" t="s">
        <v>456</v>
      </c>
      <c r="S68" s="24" t="s">
        <v>475</v>
      </c>
      <c r="T68" s="24"/>
      <c r="U68" s="189">
        <v>9</v>
      </c>
      <c r="V68" s="24" t="str">
        <f t="shared" si="0"/>
        <v>Mature</v>
      </c>
      <c r="W68" s="24"/>
      <c r="X68" s="23" t="b">
        <v>0</v>
      </c>
      <c r="Y68" s="24">
        <v>0.96</v>
      </c>
      <c r="Z68" s="24"/>
      <c r="AA68" s="24" t="s">
        <v>352</v>
      </c>
      <c r="AB68" s="18" t="s">
        <v>264</v>
      </c>
      <c r="AC68" s="184"/>
      <c r="AD68" s="24"/>
      <c r="AE68" s="184">
        <v>1</v>
      </c>
      <c r="AF68" s="24" t="s">
        <v>1351</v>
      </c>
      <c r="AG68" s="24" t="s">
        <v>354</v>
      </c>
      <c r="AH68" s="24" t="s">
        <v>354</v>
      </c>
      <c r="AI68" s="18" t="str">
        <f t="shared" si="5"/>
        <v>ElBdg</v>
      </c>
      <c r="AJ68" s="184">
        <v>0.96</v>
      </c>
      <c r="AK68" s="184">
        <v>0.96</v>
      </c>
      <c r="AL68" s="18" t="s">
        <v>1351</v>
      </c>
      <c r="AM68" s="184"/>
      <c r="AN68" s="18"/>
      <c r="AO68" s="194" t="s">
        <v>264</v>
      </c>
      <c r="AP68" s="24">
        <v>0</v>
      </c>
      <c r="AQ68" s="24">
        <v>0</v>
      </c>
      <c r="AR68" s="24">
        <v>40</v>
      </c>
      <c r="AS68" s="24">
        <v>0</v>
      </c>
      <c r="AT68" s="27">
        <v>2920</v>
      </c>
      <c r="AU68" s="24">
        <v>135</v>
      </c>
      <c r="AV68" s="74">
        <f t="shared" si="7"/>
        <v>4.6232876712328768</v>
      </c>
      <c r="AW68" s="24">
        <v>0</v>
      </c>
      <c r="AX68" s="177">
        <v>1E-3</v>
      </c>
      <c r="AY68" s="18"/>
      <c r="AZ68" s="23" t="b">
        <v>0</v>
      </c>
      <c r="BA68" s="24" t="s">
        <v>1533</v>
      </c>
      <c r="BB68" s="349" t="s">
        <v>1698</v>
      </c>
      <c r="BC68" s="349" t="s">
        <v>1179</v>
      </c>
      <c r="BD68" s="350">
        <v>20028.763477299999</v>
      </c>
      <c r="BE68" s="349" t="s">
        <v>1077</v>
      </c>
      <c r="BF68" s="143" t="s">
        <v>264</v>
      </c>
      <c r="BG68" s="143" t="s">
        <v>264</v>
      </c>
      <c r="BH68" s="143" t="s">
        <v>264</v>
      </c>
      <c r="BI68" s="143" t="s">
        <v>264</v>
      </c>
      <c r="BJ68" s="143" t="s">
        <v>264</v>
      </c>
      <c r="BK68" s="18" t="s">
        <v>1647</v>
      </c>
      <c r="BL68" s="18" t="s">
        <v>1459</v>
      </c>
      <c r="BM68" s="105" t="s">
        <v>1653</v>
      </c>
      <c r="BN68" s="18"/>
      <c r="BO68" s="137" t="s">
        <v>1464</v>
      </c>
    </row>
    <row r="69" spans="1:71" ht="31.2">
      <c r="A69" s="23" t="b">
        <v>0</v>
      </c>
      <c r="B69" s="57" t="s">
        <v>1443</v>
      </c>
      <c r="C69" s="57"/>
      <c r="D69" s="23" t="b">
        <v>0</v>
      </c>
      <c r="E69" s="23" t="b">
        <v>0</v>
      </c>
      <c r="F69" s="31" t="s">
        <v>1181</v>
      </c>
      <c r="G69" s="18" t="s">
        <v>1705</v>
      </c>
      <c r="I69" s="18" t="s">
        <v>233</v>
      </c>
      <c r="J69" s="47" t="s">
        <v>539</v>
      </c>
      <c r="K69" t="s">
        <v>274</v>
      </c>
      <c r="L69" s="24" t="s">
        <v>258</v>
      </c>
      <c r="M69" s="24" t="s">
        <v>274</v>
      </c>
      <c r="N69" s="24" t="s">
        <v>291</v>
      </c>
      <c r="O69" s="24" t="s">
        <v>628</v>
      </c>
      <c r="P69" s="24"/>
      <c r="Q69" s="24">
        <v>2020</v>
      </c>
      <c r="R69" s="24" t="s">
        <v>456</v>
      </c>
      <c r="S69" s="24" t="s">
        <v>475</v>
      </c>
      <c r="U69" s="189">
        <v>9</v>
      </c>
      <c r="V69" s="24" t="str">
        <f t="shared" si="0"/>
        <v>Mature</v>
      </c>
      <c r="X69" s="23" t="b">
        <v>0</v>
      </c>
      <c r="Y69" s="24">
        <v>0.99</v>
      </c>
      <c r="AA69" s="24" t="s">
        <v>352</v>
      </c>
      <c r="AB69" s="18" t="s">
        <v>264</v>
      </c>
      <c r="AE69" s="184">
        <v>1</v>
      </c>
      <c r="AF69" s="24" t="s">
        <v>1351</v>
      </c>
      <c r="AG69" s="24" t="s">
        <v>358</v>
      </c>
      <c r="AH69" s="24" t="s">
        <v>358</v>
      </c>
      <c r="AI69" s="18" t="str">
        <f t="shared" si="5"/>
        <v>ElRest</v>
      </c>
      <c r="AJ69" s="184">
        <v>0.99</v>
      </c>
      <c r="AK69" s="184">
        <v>0.99</v>
      </c>
      <c r="AL69" s="18" t="s">
        <v>1351</v>
      </c>
      <c r="AO69" s="194" t="s">
        <v>264</v>
      </c>
      <c r="AP69" s="24">
        <v>0</v>
      </c>
      <c r="AQ69" s="24">
        <v>0</v>
      </c>
      <c r="AR69" s="24">
        <v>40</v>
      </c>
      <c r="AS69" s="24">
        <v>0</v>
      </c>
      <c r="AT69" s="27">
        <v>1459</v>
      </c>
      <c r="AU69" s="24">
        <v>67</v>
      </c>
      <c r="AV69" s="74">
        <f t="shared" si="7"/>
        <v>4.5921864290610008</v>
      </c>
      <c r="AW69" s="24">
        <v>0</v>
      </c>
      <c r="AX69" s="177">
        <v>1E-3</v>
      </c>
      <c r="AZ69" s="23" t="b">
        <v>0</v>
      </c>
      <c r="BA69" s="24" t="s">
        <v>1533</v>
      </c>
      <c r="BB69" s="349"/>
      <c r="BC69" s="349"/>
      <c r="BD69" s="350"/>
      <c r="BE69" s="349"/>
      <c r="BF69" s="143" t="s">
        <v>264</v>
      </c>
      <c r="BG69" s="143" t="s">
        <v>264</v>
      </c>
      <c r="BH69" s="143" t="s">
        <v>264</v>
      </c>
      <c r="BI69" s="143" t="s">
        <v>264</v>
      </c>
      <c r="BJ69" s="143" t="s">
        <v>264</v>
      </c>
      <c r="BK69" s="18" t="s">
        <v>1647</v>
      </c>
      <c r="BL69" s="18" t="s">
        <v>1459</v>
      </c>
      <c r="BM69" s="105" t="s">
        <v>1653</v>
      </c>
      <c r="BO69" s="137" t="s">
        <v>1464</v>
      </c>
    </row>
    <row r="70" spans="1:71" ht="31.2">
      <c r="A70" s="23" t="b">
        <v>0</v>
      </c>
      <c r="B70" s="57" t="s">
        <v>1443</v>
      </c>
      <c r="C70" s="57"/>
      <c r="D70" s="23" t="b">
        <v>0</v>
      </c>
      <c r="E70" s="23" t="b">
        <v>0</v>
      </c>
      <c r="F70" s="31" t="s">
        <v>1706</v>
      </c>
      <c r="G70" s="18" t="s">
        <v>1707</v>
      </c>
      <c r="I70" s="18" t="s">
        <v>233</v>
      </c>
      <c r="J70" s="47" t="s">
        <v>539</v>
      </c>
      <c r="K70" t="s">
        <v>274</v>
      </c>
      <c r="L70" s="24" t="s">
        <v>258</v>
      </c>
      <c r="M70" s="24" t="s">
        <v>274</v>
      </c>
      <c r="N70" s="24" t="s">
        <v>291</v>
      </c>
      <c r="O70" s="24" t="s">
        <v>628</v>
      </c>
      <c r="P70" s="24"/>
      <c r="Q70" s="24">
        <v>2030</v>
      </c>
      <c r="R70" s="24" t="s">
        <v>456</v>
      </c>
      <c r="S70" s="24" t="s">
        <v>475</v>
      </c>
      <c r="U70" s="189">
        <v>9</v>
      </c>
      <c r="V70" s="24" t="str">
        <f t="shared" si="0"/>
        <v>Mature</v>
      </c>
      <c r="X70" s="23" t="b">
        <v>0</v>
      </c>
      <c r="Y70" s="24">
        <v>0.99</v>
      </c>
      <c r="AA70" s="24" t="s">
        <v>352</v>
      </c>
      <c r="AB70" s="18" t="s">
        <v>264</v>
      </c>
      <c r="AE70" s="184">
        <v>1</v>
      </c>
      <c r="AF70" s="24" t="s">
        <v>1351</v>
      </c>
      <c r="AG70" s="24" t="s">
        <v>358</v>
      </c>
      <c r="AH70" s="24" t="s">
        <v>358</v>
      </c>
      <c r="AI70" s="18" t="str">
        <f t="shared" si="5"/>
        <v>ElRest</v>
      </c>
      <c r="AJ70" s="184">
        <v>0.99</v>
      </c>
      <c r="AK70" s="184">
        <v>0.99</v>
      </c>
      <c r="AL70" s="18" t="s">
        <v>1351</v>
      </c>
      <c r="AO70" s="194" t="s">
        <v>264</v>
      </c>
      <c r="AP70" s="24">
        <v>0</v>
      </c>
      <c r="AQ70" s="24">
        <v>0</v>
      </c>
      <c r="AR70" s="24">
        <v>40</v>
      </c>
      <c r="AS70" s="24">
        <v>0</v>
      </c>
      <c r="AT70" s="27" t="e">
        <f>+$AT$17+($AT$20-$AT$17)/30*10</f>
        <v>#VALUE!</v>
      </c>
      <c r="AU70" s="27">
        <f>+$AU$17+($AU$20-$AU$17)/30*10</f>
        <v>0</v>
      </c>
      <c r="AV70" s="74" t="e">
        <f t="shared" si="7"/>
        <v>#VALUE!</v>
      </c>
      <c r="AW70" s="24">
        <v>0</v>
      </c>
      <c r="AX70" s="177">
        <v>1E-3</v>
      </c>
      <c r="AZ70" s="23" t="b">
        <v>0</v>
      </c>
      <c r="BA70" s="24" t="s">
        <v>1533</v>
      </c>
      <c r="BB70" s="349"/>
      <c r="BC70" s="349"/>
      <c r="BD70" s="350"/>
      <c r="BE70" s="349"/>
      <c r="BF70" s="143" t="s">
        <v>264</v>
      </c>
      <c r="BG70" s="143" t="s">
        <v>264</v>
      </c>
      <c r="BH70" s="143" t="s">
        <v>264</v>
      </c>
      <c r="BI70" s="143" t="s">
        <v>264</v>
      </c>
      <c r="BJ70" s="143" t="s">
        <v>264</v>
      </c>
      <c r="BK70" s="18" t="s">
        <v>1691</v>
      </c>
      <c r="BL70" s="18" t="s">
        <v>1459</v>
      </c>
      <c r="BM70" s="105" t="s">
        <v>1653</v>
      </c>
      <c r="BO70" s="137" t="s">
        <v>1464</v>
      </c>
    </row>
    <row r="71" spans="1:71" ht="31.2">
      <c r="A71" s="23" t="b">
        <v>0</v>
      </c>
      <c r="B71" s="57" t="s">
        <v>1443</v>
      </c>
      <c r="C71" s="57"/>
      <c r="D71" s="23" t="b">
        <v>0</v>
      </c>
      <c r="E71" s="23" t="b">
        <v>0</v>
      </c>
      <c r="F71" s="31" t="s">
        <v>1708</v>
      </c>
      <c r="G71" s="18" t="s">
        <v>1709</v>
      </c>
      <c r="I71" s="18" t="s">
        <v>233</v>
      </c>
      <c r="J71" s="47" t="s">
        <v>539</v>
      </c>
      <c r="K71" t="s">
        <v>274</v>
      </c>
      <c r="L71" s="24" t="s">
        <v>258</v>
      </c>
      <c r="M71" s="24" t="s">
        <v>274</v>
      </c>
      <c r="N71" s="24" t="s">
        <v>291</v>
      </c>
      <c r="O71" s="24" t="s">
        <v>628</v>
      </c>
      <c r="P71" s="24"/>
      <c r="Q71" s="24">
        <v>2040</v>
      </c>
      <c r="R71" s="24" t="s">
        <v>456</v>
      </c>
      <c r="S71" s="24" t="s">
        <v>475</v>
      </c>
      <c r="U71" s="189">
        <v>9</v>
      </c>
      <c r="V71" s="24" t="str">
        <f t="shared" ref="V71:V134" si="8">IF(U71="", "", IF(VALUE(LEFT(U71, 1))&gt;=9, "Mature", IF(VALUE(LEFT(U71, 1))&gt;=7, "Emerging", "Prototype")))</f>
        <v>Mature</v>
      </c>
      <c r="X71" s="23" t="b">
        <v>0</v>
      </c>
      <c r="Y71" s="24">
        <v>0.99</v>
      </c>
      <c r="AA71" s="24" t="s">
        <v>352</v>
      </c>
      <c r="AB71" s="18" t="s">
        <v>264</v>
      </c>
      <c r="AE71" s="184">
        <v>1</v>
      </c>
      <c r="AF71" s="24" t="s">
        <v>1351</v>
      </c>
      <c r="AG71" s="24" t="s">
        <v>358</v>
      </c>
      <c r="AH71" s="24" t="s">
        <v>358</v>
      </c>
      <c r="AI71" s="18" t="str">
        <f t="shared" si="5"/>
        <v>ElRest</v>
      </c>
      <c r="AJ71" s="184">
        <v>0.99</v>
      </c>
      <c r="AK71" s="184">
        <v>0.99</v>
      </c>
      <c r="AL71" s="18" t="s">
        <v>1351</v>
      </c>
      <c r="AO71" s="194" t="s">
        <v>264</v>
      </c>
      <c r="AP71" s="24">
        <v>0</v>
      </c>
      <c r="AQ71" s="24">
        <v>0</v>
      </c>
      <c r="AR71" s="24">
        <v>40</v>
      </c>
      <c r="AS71" s="24">
        <v>0</v>
      </c>
      <c r="AT71" s="27" t="e">
        <f>+$AT$17+($AT$20-$AT$17)/30*20</f>
        <v>#VALUE!</v>
      </c>
      <c r="AU71" s="27">
        <f>+$AU$17+($AU$20-$AU$17)/30*20</f>
        <v>0</v>
      </c>
      <c r="AV71" s="74" t="e">
        <f t="shared" si="7"/>
        <v>#VALUE!</v>
      </c>
      <c r="AW71" s="24">
        <v>0</v>
      </c>
      <c r="AX71" s="177">
        <v>1E-3</v>
      </c>
      <c r="AZ71" s="23" t="b">
        <v>0</v>
      </c>
      <c r="BA71" s="24" t="s">
        <v>1533</v>
      </c>
      <c r="BB71" s="349"/>
      <c r="BC71" s="349"/>
      <c r="BD71" s="350"/>
      <c r="BE71" s="349"/>
      <c r="BF71" s="143" t="s">
        <v>264</v>
      </c>
      <c r="BG71" s="143" t="s">
        <v>264</v>
      </c>
      <c r="BH71" s="143" t="s">
        <v>264</v>
      </c>
      <c r="BI71" s="143" t="s">
        <v>264</v>
      </c>
      <c r="BJ71" s="143" t="s">
        <v>264</v>
      </c>
      <c r="BK71" s="18" t="s">
        <v>1691</v>
      </c>
      <c r="BL71" s="18" t="s">
        <v>1459</v>
      </c>
      <c r="BM71" s="105" t="s">
        <v>1653</v>
      </c>
      <c r="BO71" s="137" t="s">
        <v>1464</v>
      </c>
    </row>
    <row r="72" spans="1:71" ht="31.2">
      <c r="A72" s="23" t="b">
        <v>0</v>
      </c>
      <c r="B72" s="57" t="s">
        <v>1443</v>
      </c>
      <c r="C72" s="57"/>
      <c r="D72" s="23" t="b">
        <v>0</v>
      </c>
      <c r="E72" s="23" t="b">
        <v>0</v>
      </c>
      <c r="F72" s="31" t="s">
        <v>1710</v>
      </c>
      <c r="G72" s="18" t="s">
        <v>1711</v>
      </c>
      <c r="I72" s="18" t="s">
        <v>233</v>
      </c>
      <c r="J72" s="47" t="s">
        <v>539</v>
      </c>
      <c r="K72" t="s">
        <v>274</v>
      </c>
      <c r="L72" s="24" t="s">
        <v>258</v>
      </c>
      <c r="M72" s="24" t="s">
        <v>274</v>
      </c>
      <c r="N72" s="24" t="s">
        <v>291</v>
      </c>
      <c r="O72" s="24" t="s">
        <v>628</v>
      </c>
      <c r="P72" s="24"/>
      <c r="Q72" s="24">
        <v>2050</v>
      </c>
      <c r="R72" s="24" t="s">
        <v>456</v>
      </c>
      <c r="S72" s="24" t="s">
        <v>475</v>
      </c>
      <c r="U72" s="189">
        <v>9</v>
      </c>
      <c r="V72" s="24" t="str">
        <f t="shared" si="8"/>
        <v>Mature</v>
      </c>
      <c r="X72" s="23" t="b">
        <v>0</v>
      </c>
      <c r="Y72" s="24">
        <v>0.99</v>
      </c>
      <c r="AA72" s="24" t="s">
        <v>352</v>
      </c>
      <c r="AB72" s="18" t="s">
        <v>264</v>
      </c>
      <c r="AE72" s="184">
        <v>1</v>
      </c>
      <c r="AF72" s="24" t="s">
        <v>1351</v>
      </c>
      <c r="AG72" s="24" t="s">
        <v>358</v>
      </c>
      <c r="AH72" s="24" t="s">
        <v>358</v>
      </c>
      <c r="AI72" s="18" t="str">
        <f t="shared" si="5"/>
        <v>ElRest</v>
      </c>
      <c r="AJ72" s="184">
        <v>0.99</v>
      </c>
      <c r="AK72" s="184">
        <v>0.99</v>
      </c>
      <c r="AL72" s="18" t="s">
        <v>1351</v>
      </c>
      <c r="AO72" s="194" t="s">
        <v>264</v>
      </c>
      <c r="AP72" s="24">
        <v>0</v>
      </c>
      <c r="AQ72" s="24">
        <v>0</v>
      </c>
      <c r="AR72" s="24">
        <v>40</v>
      </c>
      <c r="AS72" s="24">
        <v>0</v>
      </c>
      <c r="AT72" s="27">
        <v>2920</v>
      </c>
      <c r="AU72" s="24">
        <v>135</v>
      </c>
      <c r="AV72" s="74">
        <f t="shared" si="7"/>
        <v>4.6232876712328768</v>
      </c>
      <c r="AW72" s="24">
        <v>0</v>
      </c>
      <c r="AX72" s="177">
        <v>1E-3</v>
      </c>
      <c r="AZ72" s="23" t="b">
        <v>0</v>
      </c>
      <c r="BA72" s="24" t="s">
        <v>1533</v>
      </c>
      <c r="BB72" s="349"/>
      <c r="BC72" s="349"/>
      <c r="BD72" s="350"/>
      <c r="BE72" s="349"/>
      <c r="BF72" s="143" t="s">
        <v>264</v>
      </c>
      <c r="BG72" s="143" t="s">
        <v>264</v>
      </c>
      <c r="BH72" s="143" t="s">
        <v>264</v>
      </c>
      <c r="BI72" s="143" t="s">
        <v>264</v>
      </c>
      <c r="BJ72" s="143" t="s">
        <v>264</v>
      </c>
      <c r="BK72" s="18" t="s">
        <v>1647</v>
      </c>
      <c r="BL72" s="18" t="s">
        <v>1459</v>
      </c>
      <c r="BM72" s="105" t="s">
        <v>1653</v>
      </c>
      <c r="BO72" s="137" t="s">
        <v>1464</v>
      </c>
    </row>
    <row r="73" spans="1:71" ht="31.2">
      <c r="A73" s="23" t="b">
        <v>0</v>
      </c>
      <c r="B73" s="24"/>
      <c r="C73" s="24"/>
      <c r="D73" s="23" t="b">
        <v>0</v>
      </c>
      <c r="E73" s="23" t="b">
        <v>0</v>
      </c>
      <c r="F73" s="31" t="s">
        <v>1712</v>
      </c>
      <c r="G73" s="18" t="s">
        <v>1713</v>
      </c>
      <c r="I73" s="18" t="s">
        <v>239</v>
      </c>
      <c r="J73" s="47" t="s">
        <v>595</v>
      </c>
      <c r="K73" s="47" t="s">
        <v>591</v>
      </c>
      <c r="L73" s="24" t="s">
        <v>267</v>
      </c>
      <c r="M73" s="24"/>
      <c r="N73" s="24"/>
      <c r="O73" s="24" t="s">
        <v>304</v>
      </c>
      <c r="P73" s="24"/>
      <c r="Q73" s="24">
        <v>2020</v>
      </c>
      <c r="R73" s="24" t="s">
        <v>456</v>
      </c>
      <c r="S73" s="24" t="s">
        <v>475</v>
      </c>
      <c r="U73" s="189">
        <v>9</v>
      </c>
      <c r="V73" s="24" t="str">
        <f t="shared" si="8"/>
        <v>Mature</v>
      </c>
      <c r="X73" s="23" t="b">
        <v>0</v>
      </c>
      <c r="Y73" s="24">
        <v>0.93</v>
      </c>
      <c r="AA73" s="24" t="s">
        <v>354</v>
      </c>
      <c r="AB73" s="24" t="s">
        <v>264</v>
      </c>
      <c r="AE73" s="184">
        <v>1</v>
      </c>
      <c r="AF73" s="24" t="s">
        <v>1351</v>
      </c>
      <c r="AG73" s="24" t="s">
        <v>439</v>
      </c>
      <c r="AH73" s="24" t="s">
        <v>439</v>
      </c>
      <c r="AI73" s="24" t="s">
        <v>439</v>
      </c>
      <c r="AJ73" s="224" t="s">
        <v>1714</v>
      </c>
      <c r="AK73" s="224" t="s">
        <v>1714</v>
      </c>
      <c r="AL73" s="24" t="s">
        <v>1351</v>
      </c>
      <c r="AO73" s="165" t="s">
        <v>264</v>
      </c>
      <c r="AP73" s="24">
        <v>0</v>
      </c>
      <c r="AQ73" s="24">
        <v>0</v>
      </c>
      <c r="AR73" s="24">
        <v>20</v>
      </c>
      <c r="AS73" s="24">
        <v>0</v>
      </c>
      <c r="AT73" s="171">
        <v>962</v>
      </c>
      <c r="AU73" s="24">
        <v>0</v>
      </c>
      <c r="AV73" s="111">
        <f t="shared" ref="AV73:AV78" si="9">+AW73/AT73%</f>
        <v>0.41580041580041582</v>
      </c>
      <c r="AW73" s="24">
        <v>4</v>
      </c>
      <c r="AX73" s="177">
        <v>0</v>
      </c>
      <c r="AZ73" s="23" t="b">
        <v>0</v>
      </c>
      <c r="BA73" s="24" t="s">
        <v>1533</v>
      </c>
      <c r="BB73" s="349" t="s">
        <v>1715</v>
      </c>
      <c r="BC73" s="349" t="s">
        <v>1081</v>
      </c>
      <c r="BD73" s="350">
        <v>292.10039610000001</v>
      </c>
      <c r="BE73" s="349" t="s">
        <v>1074</v>
      </c>
      <c r="BF73" s="143" t="s">
        <v>264</v>
      </c>
      <c r="BG73" s="143" t="s">
        <v>264</v>
      </c>
      <c r="BH73" s="143" t="s">
        <v>264</v>
      </c>
      <c r="BI73" s="143" t="s">
        <v>264</v>
      </c>
      <c r="BJ73" s="143" t="s">
        <v>264</v>
      </c>
      <c r="BK73" s="18" t="s">
        <v>1667</v>
      </c>
      <c r="BL73" s="18" t="s">
        <v>1459</v>
      </c>
      <c r="BO73" s="47" t="s">
        <v>1535</v>
      </c>
    </row>
    <row r="74" spans="1:71" ht="31.2">
      <c r="A74" s="23" t="b">
        <v>0</v>
      </c>
      <c r="B74" s="24"/>
      <c r="C74" s="24"/>
      <c r="D74" s="23" t="b">
        <v>0</v>
      </c>
      <c r="E74" s="23" t="b">
        <v>0</v>
      </c>
      <c r="F74" s="31" t="s">
        <v>1716</v>
      </c>
      <c r="G74" s="18" t="s">
        <v>1717</v>
      </c>
      <c r="I74" s="18" t="s">
        <v>239</v>
      </c>
      <c r="J74" s="47" t="s">
        <v>595</v>
      </c>
      <c r="K74" s="47" t="s">
        <v>591</v>
      </c>
      <c r="L74" s="24" t="s">
        <v>267</v>
      </c>
      <c r="M74" s="24"/>
      <c r="N74" s="24"/>
      <c r="O74" s="24" t="s">
        <v>304</v>
      </c>
      <c r="P74" s="24"/>
      <c r="Q74" s="24">
        <v>2030</v>
      </c>
      <c r="R74" s="24" t="s">
        <v>456</v>
      </c>
      <c r="S74" s="24" t="s">
        <v>475</v>
      </c>
      <c r="U74" s="189">
        <v>9</v>
      </c>
      <c r="V74" s="24" t="str">
        <f t="shared" si="8"/>
        <v>Mature</v>
      </c>
      <c r="X74" s="23" t="b">
        <v>0</v>
      </c>
      <c r="Y74" s="24">
        <v>0.93</v>
      </c>
      <c r="AA74" s="24" t="s">
        <v>354</v>
      </c>
      <c r="AB74" s="24" t="s">
        <v>264</v>
      </c>
      <c r="AE74" s="184">
        <v>1</v>
      </c>
      <c r="AF74" s="24" t="s">
        <v>1351</v>
      </c>
      <c r="AG74" s="24" t="s">
        <v>439</v>
      </c>
      <c r="AH74" s="24" t="s">
        <v>439</v>
      </c>
      <c r="AI74" s="24" t="s">
        <v>439</v>
      </c>
      <c r="AJ74" s="224" t="s">
        <v>1718</v>
      </c>
      <c r="AK74" s="224" t="s">
        <v>1718</v>
      </c>
      <c r="AL74" s="24" t="s">
        <v>1351</v>
      </c>
      <c r="AO74" s="165" t="s">
        <v>264</v>
      </c>
      <c r="AP74" s="24">
        <v>0</v>
      </c>
      <c r="AQ74" s="24">
        <v>0</v>
      </c>
      <c r="AR74" s="24">
        <v>20</v>
      </c>
      <c r="AS74" s="24">
        <v>0</v>
      </c>
      <c r="AT74" s="171">
        <v>962</v>
      </c>
      <c r="AU74" s="24">
        <v>0</v>
      </c>
      <c r="AV74" s="111">
        <f t="shared" si="9"/>
        <v>0.41580041580041582</v>
      </c>
      <c r="AW74" s="24">
        <v>4</v>
      </c>
      <c r="AX74" s="177">
        <v>0</v>
      </c>
      <c r="AZ74" s="23" t="b">
        <v>0</v>
      </c>
      <c r="BA74" s="24" t="s">
        <v>1533</v>
      </c>
      <c r="BB74" s="349" t="s">
        <v>1715</v>
      </c>
      <c r="BC74" s="349" t="s">
        <v>1081</v>
      </c>
      <c r="BD74" s="350">
        <v>238.78958779999999</v>
      </c>
      <c r="BE74" s="349" t="s">
        <v>1075</v>
      </c>
      <c r="BF74" s="143" t="s">
        <v>264</v>
      </c>
      <c r="BG74" s="143" t="s">
        <v>264</v>
      </c>
      <c r="BH74" s="143" t="s">
        <v>264</v>
      </c>
      <c r="BI74" s="143" t="s">
        <v>264</v>
      </c>
      <c r="BJ74" s="143" t="s">
        <v>264</v>
      </c>
      <c r="BK74" s="18" t="s">
        <v>1670</v>
      </c>
      <c r="BL74" s="18" t="s">
        <v>1459</v>
      </c>
      <c r="BO74" s="47" t="s">
        <v>1535</v>
      </c>
    </row>
    <row r="75" spans="1:71" ht="31.2">
      <c r="A75" s="23" t="b">
        <v>0</v>
      </c>
      <c r="B75" s="24"/>
      <c r="C75" s="24"/>
      <c r="D75" s="23" t="b">
        <v>0</v>
      </c>
      <c r="E75" s="23" t="b">
        <v>0</v>
      </c>
      <c r="F75" s="31" t="s">
        <v>1719</v>
      </c>
      <c r="G75" s="18" t="s">
        <v>1720</v>
      </c>
      <c r="I75" s="18" t="s">
        <v>239</v>
      </c>
      <c r="J75" s="47" t="s">
        <v>595</v>
      </c>
      <c r="K75" s="47" t="s">
        <v>591</v>
      </c>
      <c r="L75" s="24" t="s">
        <v>267</v>
      </c>
      <c r="M75" s="24"/>
      <c r="N75" s="24"/>
      <c r="O75" s="24" t="s">
        <v>304</v>
      </c>
      <c r="P75" s="24"/>
      <c r="Q75" s="24">
        <v>2040</v>
      </c>
      <c r="R75" s="24" t="s">
        <v>456</v>
      </c>
      <c r="S75" s="24" t="s">
        <v>475</v>
      </c>
      <c r="U75" s="189">
        <v>9</v>
      </c>
      <c r="V75" s="24" t="str">
        <f t="shared" si="8"/>
        <v>Mature</v>
      </c>
      <c r="X75" s="23" t="b">
        <v>0</v>
      </c>
      <c r="Y75" s="24">
        <v>0.93</v>
      </c>
      <c r="AA75" s="24" t="s">
        <v>354</v>
      </c>
      <c r="AB75" s="24" t="s">
        <v>264</v>
      </c>
      <c r="AE75" s="184">
        <v>1</v>
      </c>
      <c r="AF75" s="24" t="s">
        <v>1351</v>
      </c>
      <c r="AG75" s="24" t="s">
        <v>439</v>
      </c>
      <c r="AH75" s="24" t="s">
        <v>439</v>
      </c>
      <c r="AI75" s="24" t="s">
        <v>439</v>
      </c>
      <c r="AJ75" s="224" t="s">
        <v>1718</v>
      </c>
      <c r="AK75" s="224" t="s">
        <v>1718</v>
      </c>
      <c r="AL75" s="24" t="s">
        <v>1351</v>
      </c>
      <c r="AO75" s="165" t="s">
        <v>264</v>
      </c>
      <c r="AP75" s="24">
        <v>0</v>
      </c>
      <c r="AQ75" s="24">
        <v>0</v>
      </c>
      <c r="AR75" s="24">
        <v>20</v>
      </c>
      <c r="AS75" s="24">
        <v>0</v>
      </c>
      <c r="AT75" s="171">
        <v>962</v>
      </c>
      <c r="AU75" s="24">
        <v>0</v>
      </c>
      <c r="AV75" s="111">
        <f t="shared" si="9"/>
        <v>0.41580041580041582</v>
      </c>
      <c r="AW75" s="24">
        <v>4</v>
      </c>
      <c r="AX75" s="177">
        <v>0</v>
      </c>
      <c r="AZ75" s="23" t="b">
        <v>0</v>
      </c>
      <c r="BA75" s="24" t="s">
        <v>1533</v>
      </c>
      <c r="BB75" s="349" t="s">
        <v>1715</v>
      </c>
      <c r="BC75" s="349" t="s">
        <v>1081</v>
      </c>
      <c r="BD75" s="350">
        <v>161.80183310000001</v>
      </c>
      <c r="BE75" s="349" t="s">
        <v>1076</v>
      </c>
      <c r="BF75" s="143" t="s">
        <v>264</v>
      </c>
      <c r="BG75" s="143" t="s">
        <v>264</v>
      </c>
      <c r="BH75" s="143" t="s">
        <v>264</v>
      </c>
      <c r="BI75" s="143" t="s">
        <v>264</v>
      </c>
      <c r="BJ75" s="143" t="s">
        <v>264</v>
      </c>
      <c r="BK75" s="18" t="s">
        <v>1670</v>
      </c>
      <c r="BL75" s="18" t="s">
        <v>1459</v>
      </c>
      <c r="BO75" s="47" t="s">
        <v>1535</v>
      </c>
    </row>
    <row r="76" spans="1:71" ht="12" customHeight="1">
      <c r="A76" s="23" t="b">
        <v>0</v>
      </c>
      <c r="B76" s="24"/>
      <c r="C76" s="24"/>
      <c r="D76" s="23" t="b">
        <v>0</v>
      </c>
      <c r="E76" s="23" t="b">
        <v>0</v>
      </c>
      <c r="F76" s="31" t="s">
        <v>1721</v>
      </c>
      <c r="G76" s="18" t="s">
        <v>1722</v>
      </c>
      <c r="I76" s="18" t="s">
        <v>239</v>
      </c>
      <c r="J76" s="47" t="s">
        <v>595</v>
      </c>
      <c r="K76" s="47" t="s">
        <v>591</v>
      </c>
      <c r="L76" s="24" t="s">
        <v>267</v>
      </c>
      <c r="M76" s="24"/>
      <c r="N76" s="24"/>
      <c r="O76" s="24" t="s">
        <v>304</v>
      </c>
      <c r="P76" s="24"/>
      <c r="Q76" s="24">
        <v>2050</v>
      </c>
      <c r="R76" s="24" t="s">
        <v>456</v>
      </c>
      <c r="S76" s="24" t="s">
        <v>475</v>
      </c>
      <c r="U76" s="189">
        <v>9</v>
      </c>
      <c r="V76" s="24" t="str">
        <f t="shared" si="8"/>
        <v>Mature</v>
      </c>
      <c r="X76" s="23" t="b">
        <v>0</v>
      </c>
      <c r="Y76" s="24">
        <v>0.93</v>
      </c>
      <c r="AA76" s="24" t="s">
        <v>354</v>
      </c>
      <c r="AB76" s="24" t="s">
        <v>264</v>
      </c>
      <c r="AE76" s="184">
        <v>1</v>
      </c>
      <c r="AF76" s="24" t="s">
        <v>1351</v>
      </c>
      <c r="AG76" s="24" t="s">
        <v>439</v>
      </c>
      <c r="AH76" s="24" t="s">
        <v>439</v>
      </c>
      <c r="AI76" s="24" t="s">
        <v>439</v>
      </c>
      <c r="AJ76" s="224" t="s">
        <v>1718</v>
      </c>
      <c r="AK76" s="224" t="s">
        <v>1718</v>
      </c>
      <c r="AL76" s="24" t="s">
        <v>1351</v>
      </c>
      <c r="AO76" s="165" t="s">
        <v>264</v>
      </c>
      <c r="AP76" s="24">
        <v>0</v>
      </c>
      <c r="AQ76" s="24">
        <v>0</v>
      </c>
      <c r="AR76" s="24">
        <v>20</v>
      </c>
      <c r="AS76" s="24">
        <v>0</v>
      </c>
      <c r="AT76" s="171">
        <v>962</v>
      </c>
      <c r="AU76" s="24">
        <v>0</v>
      </c>
      <c r="AV76" s="111">
        <f t="shared" si="9"/>
        <v>0.41580041580041582</v>
      </c>
      <c r="AW76" s="24">
        <v>4</v>
      </c>
      <c r="AX76" s="177">
        <v>0</v>
      </c>
      <c r="AZ76" s="23" t="b">
        <v>0</v>
      </c>
      <c r="BA76" s="24" t="s">
        <v>1533</v>
      </c>
      <c r="BB76" s="349" t="s">
        <v>1715</v>
      </c>
      <c r="BC76" s="349" t="s">
        <v>1081</v>
      </c>
      <c r="BD76" s="350">
        <v>123.9770549</v>
      </c>
      <c r="BE76" s="349" t="s">
        <v>1077</v>
      </c>
      <c r="BF76" s="143" t="s">
        <v>264</v>
      </c>
      <c r="BG76" s="143" t="s">
        <v>264</v>
      </c>
      <c r="BH76" s="143" t="s">
        <v>264</v>
      </c>
      <c r="BI76" s="143" t="s">
        <v>264</v>
      </c>
      <c r="BJ76" s="143" t="s">
        <v>264</v>
      </c>
      <c r="BK76" s="18" t="s">
        <v>1667</v>
      </c>
      <c r="BL76" s="18" t="s">
        <v>1459</v>
      </c>
      <c r="BO76" s="47" t="s">
        <v>1535</v>
      </c>
    </row>
    <row r="77" spans="1:71">
      <c r="A77" s="23" t="b">
        <v>1</v>
      </c>
      <c r="B77" s="57" t="s">
        <v>1336</v>
      </c>
      <c r="C77" s="57"/>
      <c r="D77" s="23" t="b">
        <v>0</v>
      </c>
      <c r="E77" s="23" t="b">
        <v>0</v>
      </c>
      <c r="F77" s="31" t="s">
        <v>1723</v>
      </c>
      <c r="G77" s="18" t="s">
        <v>1724</v>
      </c>
      <c r="I77" s="18" t="s">
        <v>238</v>
      </c>
      <c r="J77" s="47" t="s">
        <v>566</v>
      </c>
      <c r="K77" t="s">
        <v>1725</v>
      </c>
      <c r="L77" s="24"/>
      <c r="M77" s="24"/>
      <c r="N77" s="24"/>
      <c r="O77" s="24" t="s">
        <v>304</v>
      </c>
      <c r="P77" s="24"/>
      <c r="Q77" s="24">
        <v>2050</v>
      </c>
      <c r="R77" s="24" t="s">
        <v>456</v>
      </c>
      <c r="S77" s="24" t="s">
        <v>475</v>
      </c>
      <c r="U77" s="189">
        <v>8</v>
      </c>
      <c r="V77" s="24" t="str">
        <f t="shared" si="8"/>
        <v>Emerging</v>
      </c>
      <c r="X77" s="23" t="b">
        <v>0</v>
      </c>
      <c r="Y77" s="24">
        <v>0.2</v>
      </c>
      <c r="AA77" s="24" t="s">
        <v>429</v>
      </c>
      <c r="AB77" s="18" t="s">
        <v>264</v>
      </c>
      <c r="AE77" s="184">
        <v>1</v>
      </c>
      <c r="AF77" s="24" t="s">
        <v>1351</v>
      </c>
      <c r="AG77" s="24" t="s">
        <v>1546</v>
      </c>
      <c r="AH77" s="24" t="s">
        <v>1546</v>
      </c>
      <c r="AI77" s="18" t="s">
        <v>352</v>
      </c>
      <c r="AJ77" s="184" t="s">
        <v>1726</v>
      </c>
      <c r="AK77" s="184" t="s">
        <v>1726</v>
      </c>
      <c r="AL77" s="18" t="s">
        <v>1485</v>
      </c>
      <c r="AO77" s="194" t="s">
        <v>264</v>
      </c>
      <c r="AP77" s="24">
        <v>0</v>
      </c>
      <c r="AQ77" s="24">
        <v>0</v>
      </c>
      <c r="AR77" s="24">
        <v>30</v>
      </c>
      <c r="AS77" s="24">
        <v>0</v>
      </c>
      <c r="AT77" s="166">
        <v>8000</v>
      </c>
      <c r="AU77" s="24">
        <v>0</v>
      </c>
      <c r="AV77" s="111">
        <f t="shared" si="9"/>
        <v>2.7749999999999999</v>
      </c>
      <c r="AW77" s="24">
        <v>222</v>
      </c>
      <c r="AX77" s="177">
        <v>5.0000000000000001E-3</v>
      </c>
      <c r="AZ77" s="23" t="b">
        <v>0</v>
      </c>
      <c r="BA77" s="24" t="s">
        <v>1497</v>
      </c>
      <c r="BB77" s="349" t="s">
        <v>1727</v>
      </c>
      <c r="BC77" s="349" t="s">
        <v>1081</v>
      </c>
      <c r="BD77" s="350">
        <v>3193.3361239000001</v>
      </c>
      <c r="BE77" s="349" t="s">
        <v>1077</v>
      </c>
      <c r="BF77" s="143" t="s">
        <v>264</v>
      </c>
      <c r="BG77" s="143" t="s">
        <v>264</v>
      </c>
      <c r="BH77" s="143" t="s">
        <v>264</v>
      </c>
      <c r="BI77" s="143" t="s">
        <v>264</v>
      </c>
      <c r="BJ77" s="143" t="s">
        <v>264</v>
      </c>
      <c r="BK77" s="18" t="s">
        <v>1728</v>
      </c>
      <c r="BL77" s="18" t="s">
        <v>1459</v>
      </c>
      <c r="BM77" s="95" t="s">
        <v>1729</v>
      </c>
      <c r="BO77" s="116" t="s">
        <v>1535</v>
      </c>
    </row>
    <row r="78" spans="1:71" ht="31.2">
      <c r="A78" s="23" t="b">
        <v>0</v>
      </c>
      <c r="B78" s="57" t="s">
        <v>1336</v>
      </c>
      <c r="C78" s="57"/>
      <c r="D78" s="23" t="b">
        <v>0</v>
      </c>
      <c r="E78" s="23" t="b">
        <v>0</v>
      </c>
      <c r="F78" s="31" t="s">
        <v>1730</v>
      </c>
      <c r="G78" s="18" t="s">
        <v>1731</v>
      </c>
      <c r="I78" s="18" t="s">
        <v>249</v>
      </c>
      <c r="J78" s="47" t="s">
        <v>1732</v>
      </c>
      <c r="K78" t="s">
        <v>787</v>
      </c>
      <c r="L78" s="24" t="s">
        <v>258</v>
      </c>
      <c r="M78" s="24" t="s">
        <v>260</v>
      </c>
      <c r="N78" s="24" t="s">
        <v>267</v>
      </c>
      <c r="O78" s="24" t="s">
        <v>304</v>
      </c>
      <c r="P78" s="24"/>
      <c r="Q78" s="24">
        <v>2050</v>
      </c>
      <c r="R78" s="24" t="s">
        <v>456</v>
      </c>
      <c r="S78" s="24" t="s">
        <v>475</v>
      </c>
      <c r="U78" s="189">
        <v>9</v>
      </c>
      <c r="V78" s="24" t="str">
        <f t="shared" si="8"/>
        <v>Mature</v>
      </c>
      <c r="X78" s="23" t="b">
        <v>0</v>
      </c>
      <c r="Y78" s="24">
        <v>0.6</v>
      </c>
      <c r="AA78" s="24" t="s">
        <v>396</v>
      </c>
      <c r="AB78" s="18" t="s">
        <v>264</v>
      </c>
      <c r="AE78" s="184">
        <v>1</v>
      </c>
      <c r="AF78" s="18" t="s">
        <v>1351</v>
      </c>
      <c r="AG78" s="24" t="s">
        <v>346</v>
      </c>
      <c r="AH78" s="24" t="s">
        <v>346</v>
      </c>
      <c r="AI78" s="24" t="s">
        <v>346</v>
      </c>
      <c r="AJ78" s="184">
        <v>0.61</v>
      </c>
      <c r="AK78" s="184">
        <v>0.61</v>
      </c>
      <c r="AL78" s="18" t="s">
        <v>1351</v>
      </c>
      <c r="AO78" s="194" t="s">
        <v>264</v>
      </c>
      <c r="AP78" s="24">
        <v>400</v>
      </c>
      <c r="AQ78" s="24">
        <v>400000</v>
      </c>
      <c r="AR78" s="24">
        <v>23</v>
      </c>
      <c r="AS78" s="24">
        <v>0</v>
      </c>
      <c r="AT78" s="166">
        <v>979</v>
      </c>
      <c r="AU78" s="24">
        <v>0</v>
      </c>
      <c r="AV78" s="111">
        <f t="shared" si="9"/>
        <v>4.3922369765066396</v>
      </c>
      <c r="AW78" s="24">
        <v>43</v>
      </c>
      <c r="AX78" s="177">
        <v>2E-3</v>
      </c>
      <c r="AZ78" s="23" t="b">
        <v>0</v>
      </c>
      <c r="BA78" s="24" t="s">
        <v>1456</v>
      </c>
      <c r="BB78" s="349" t="s">
        <v>1733</v>
      </c>
      <c r="BC78" s="349" t="s">
        <v>1081</v>
      </c>
      <c r="BD78" s="350">
        <v>101.59193329999999</v>
      </c>
      <c r="BE78" s="349" t="s">
        <v>1077</v>
      </c>
      <c r="BF78" s="143" t="s">
        <v>264</v>
      </c>
      <c r="BG78" s="143" t="s">
        <v>264</v>
      </c>
      <c r="BH78" s="143" t="s">
        <v>264</v>
      </c>
      <c r="BI78" s="143" t="s">
        <v>264</v>
      </c>
      <c r="BJ78" s="143" t="s">
        <v>264</v>
      </c>
      <c r="BK78" s="18" t="s">
        <v>1734</v>
      </c>
      <c r="BL78" s="18" t="s">
        <v>1459</v>
      </c>
      <c r="BM78" s="114" t="s">
        <v>1735</v>
      </c>
      <c r="BO78" s="115" t="s">
        <v>1629</v>
      </c>
    </row>
    <row r="79" spans="1:71">
      <c r="A79" s="234" t="b">
        <v>0</v>
      </c>
      <c r="B79" s="235" t="s">
        <v>1536</v>
      </c>
      <c r="C79" s="235" t="s">
        <v>1335</v>
      </c>
      <c r="D79" s="23" t="b">
        <v>0</v>
      </c>
      <c r="E79" s="23" t="b">
        <v>0</v>
      </c>
      <c r="F79" s="31" t="s">
        <v>1736</v>
      </c>
      <c r="G79" s="18" t="s">
        <v>1737</v>
      </c>
      <c r="I79" s="18" t="s">
        <v>245</v>
      </c>
      <c r="J79" s="47" t="s">
        <v>909</v>
      </c>
      <c r="K79" t="s">
        <v>908</v>
      </c>
      <c r="L79" s="24" t="s">
        <v>263</v>
      </c>
      <c r="M79" s="24" t="s">
        <v>277</v>
      </c>
      <c r="N79" s="24" t="s">
        <v>290</v>
      </c>
      <c r="O79" s="24" t="s">
        <v>304</v>
      </c>
      <c r="P79" s="24"/>
      <c r="Q79" s="24">
        <v>2020</v>
      </c>
      <c r="R79" s="24" t="s">
        <v>456</v>
      </c>
      <c r="S79" s="24" t="s">
        <v>475</v>
      </c>
      <c r="T79" s="165">
        <v>2025</v>
      </c>
      <c r="U79" s="189">
        <v>8</v>
      </c>
      <c r="V79" s="24" t="str">
        <f t="shared" si="8"/>
        <v>Emerging</v>
      </c>
      <c r="X79" s="23" t="b">
        <v>0</v>
      </c>
      <c r="Y79" s="24">
        <v>0.82</v>
      </c>
      <c r="AA79" s="24" t="s">
        <v>1607</v>
      </c>
      <c r="AB79" s="24" t="s">
        <v>396</v>
      </c>
      <c r="AE79" s="24" t="s">
        <v>1738</v>
      </c>
      <c r="AF79" s="24" t="s">
        <v>1482</v>
      </c>
      <c r="AG79" s="24" t="s">
        <v>1739</v>
      </c>
      <c r="AH79" s="24" t="s">
        <v>1739</v>
      </c>
      <c r="AI79" s="18" t="s">
        <v>411</v>
      </c>
      <c r="AJ79" s="18" t="s">
        <v>1740</v>
      </c>
      <c r="AK79" s="18" t="s">
        <v>1740</v>
      </c>
      <c r="AL79" s="18" t="s">
        <v>1485</v>
      </c>
      <c r="AN79" s="24"/>
      <c r="AO79" s="165">
        <v>0.875</v>
      </c>
      <c r="AP79" s="24">
        <v>300</v>
      </c>
      <c r="AQ79" s="24">
        <v>0</v>
      </c>
      <c r="AR79" s="24">
        <v>25</v>
      </c>
      <c r="AS79" s="24"/>
      <c r="AT79" s="171">
        <v>810</v>
      </c>
      <c r="AU79" s="24">
        <v>0</v>
      </c>
      <c r="AV79" s="24">
        <v>3</v>
      </c>
      <c r="AW79" s="24">
        <f>AT79*AV79/100</f>
        <v>24.3</v>
      </c>
      <c r="AX79" s="179">
        <v>0</v>
      </c>
      <c r="AZ79" s="23" t="b">
        <v>0</v>
      </c>
      <c r="BA79" s="24"/>
      <c r="BB79" s="349" t="s">
        <v>1741</v>
      </c>
      <c r="BC79" s="349" t="s">
        <v>1089</v>
      </c>
      <c r="BD79" s="350">
        <v>3.47762E-2</v>
      </c>
      <c r="BE79" s="349" t="s">
        <v>1074</v>
      </c>
      <c r="BF79" s="114"/>
      <c r="BG79" s="114"/>
      <c r="BH79" s="18">
        <v>-0.40550000000000003</v>
      </c>
      <c r="BI79" s="18">
        <v>-6.1999999999999998E-3</v>
      </c>
      <c r="BJ79" s="18" t="s">
        <v>1474</v>
      </c>
      <c r="BK79" s="114" t="s">
        <v>1742</v>
      </c>
      <c r="BL79" s="18" t="s">
        <v>1459</v>
      </c>
      <c r="BM79" s="114" t="s">
        <v>1743</v>
      </c>
      <c r="BN79" s="114"/>
      <c r="BO79" s="140" t="s">
        <v>1464</v>
      </c>
    </row>
    <row r="80" spans="1:71">
      <c r="A80" s="234" t="b">
        <v>0</v>
      </c>
      <c r="B80" s="235" t="s">
        <v>1536</v>
      </c>
      <c r="C80" s="235" t="s">
        <v>1335</v>
      </c>
      <c r="D80" s="23" t="b">
        <v>0</v>
      </c>
      <c r="E80" s="23" t="b">
        <v>0</v>
      </c>
      <c r="F80" s="31" t="s">
        <v>1744</v>
      </c>
      <c r="G80" s="18" t="s">
        <v>1745</v>
      </c>
      <c r="I80" s="18" t="s">
        <v>245</v>
      </c>
      <c r="J80" s="47" t="s">
        <v>909</v>
      </c>
      <c r="K80" t="s">
        <v>908</v>
      </c>
      <c r="L80" s="24" t="s">
        <v>263</v>
      </c>
      <c r="M80" s="24" t="s">
        <v>277</v>
      </c>
      <c r="N80" s="24" t="s">
        <v>290</v>
      </c>
      <c r="O80" s="24" t="s">
        <v>304</v>
      </c>
      <c r="P80" s="24"/>
      <c r="Q80" s="24">
        <v>2030</v>
      </c>
      <c r="R80" s="24" t="s">
        <v>456</v>
      </c>
      <c r="S80" s="24" t="s">
        <v>475</v>
      </c>
      <c r="T80" s="165">
        <v>2025</v>
      </c>
      <c r="U80" s="189">
        <v>8</v>
      </c>
      <c r="V80" s="24" t="str">
        <f t="shared" si="8"/>
        <v>Emerging</v>
      </c>
      <c r="X80" s="23" t="b">
        <v>0</v>
      </c>
      <c r="Y80" s="24">
        <v>0.82</v>
      </c>
      <c r="AA80" s="24" t="s">
        <v>1607</v>
      </c>
      <c r="AB80" s="24" t="s">
        <v>396</v>
      </c>
      <c r="AE80" s="24" t="s">
        <v>1738</v>
      </c>
      <c r="AF80" s="24" t="s">
        <v>1482</v>
      </c>
      <c r="AG80" s="24" t="s">
        <v>1739</v>
      </c>
      <c r="AH80" s="24" t="s">
        <v>1739</v>
      </c>
      <c r="AI80" s="18" t="s">
        <v>411</v>
      </c>
      <c r="AJ80" s="18" t="s">
        <v>1740</v>
      </c>
      <c r="AK80" s="18" t="s">
        <v>1740</v>
      </c>
      <c r="AL80" s="18" t="s">
        <v>1485</v>
      </c>
      <c r="AN80" s="24"/>
      <c r="AO80" s="165">
        <v>0.875</v>
      </c>
      <c r="AP80" s="24">
        <v>300</v>
      </c>
      <c r="AQ80" s="24">
        <v>0</v>
      </c>
      <c r="AR80" s="24">
        <v>25</v>
      </c>
      <c r="AS80" s="24"/>
      <c r="AT80" s="171">
        <v>750</v>
      </c>
      <c r="AU80" s="24">
        <v>0</v>
      </c>
      <c r="AV80" s="24">
        <v>3</v>
      </c>
      <c r="AW80" s="24">
        <f>AT80*AV80/100</f>
        <v>22.5</v>
      </c>
      <c r="AX80" s="179">
        <v>0</v>
      </c>
      <c r="AZ80" s="23" t="b">
        <v>0</v>
      </c>
      <c r="BA80" s="24"/>
      <c r="BB80" s="349" t="s">
        <v>1741</v>
      </c>
      <c r="BC80" s="349" t="s">
        <v>1089</v>
      </c>
      <c r="BD80" s="350">
        <v>2.9317800000000001E-2</v>
      </c>
      <c r="BE80" s="349" t="s">
        <v>1075</v>
      </c>
      <c r="BF80" s="114"/>
      <c r="BG80" s="114"/>
      <c r="BH80" s="18">
        <v>-0.40550000000000003</v>
      </c>
      <c r="BI80" s="18">
        <v>-6.1999999999999998E-3</v>
      </c>
      <c r="BJ80" s="18" t="s">
        <v>1474</v>
      </c>
      <c r="BK80" s="114" t="s">
        <v>1742</v>
      </c>
      <c r="BL80" s="18" t="s">
        <v>1459</v>
      </c>
      <c r="BM80" s="114" t="s">
        <v>1743</v>
      </c>
      <c r="BN80" s="114"/>
      <c r="BO80" s="140"/>
    </row>
    <row r="81" spans="1:70">
      <c r="A81" s="234" t="b">
        <v>0</v>
      </c>
      <c r="B81" s="235" t="s">
        <v>1536</v>
      </c>
      <c r="C81" s="235" t="s">
        <v>1335</v>
      </c>
      <c r="D81" s="23" t="b">
        <v>0</v>
      </c>
      <c r="E81" s="23" t="b">
        <v>0</v>
      </c>
      <c r="F81" s="31" t="s">
        <v>1746</v>
      </c>
      <c r="G81" s="18" t="s">
        <v>1747</v>
      </c>
      <c r="I81" s="18" t="s">
        <v>245</v>
      </c>
      <c r="J81" s="47" t="s">
        <v>909</v>
      </c>
      <c r="K81" t="s">
        <v>908</v>
      </c>
      <c r="L81" s="24" t="s">
        <v>263</v>
      </c>
      <c r="M81" s="24" t="s">
        <v>277</v>
      </c>
      <c r="N81" s="24" t="s">
        <v>290</v>
      </c>
      <c r="O81" s="24" t="s">
        <v>304</v>
      </c>
      <c r="P81" s="24"/>
      <c r="Q81" s="24">
        <v>2040</v>
      </c>
      <c r="R81" s="24" t="s">
        <v>456</v>
      </c>
      <c r="S81" s="24" t="s">
        <v>475</v>
      </c>
      <c r="T81" s="165">
        <v>2025</v>
      </c>
      <c r="U81" s="189">
        <v>9</v>
      </c>
      <c r="V81" s="24" t="str">
        <f t="shared" si="8"/>
        <v>Mature</v>
      </c>
      <c r="X81" s="23" t="b">
        <v>0</v>
      </c>
      <c r="Y81" s="24">
        <v>0.82</v>
      </c>
      <c r="AA81" s="24" t="s">
        <v>1607</v>
      </c>
      <c r="AB81" s="24" t="s">
        <v>396</v>
      </c>
      <c r="AE81" s="24" t="s">
        <v>1738</v>
      </c>
      <c r="AF81" s="24" t="s">
        <v>1482</v>
      </c>
      <c r="AG81" s="24" t="s">
        <v>1739</v>
      </c>
      <c r="AH81" s="24" t="s">
        <v>1739</v>
      </c>
      <c r="AI81" s="18" t="s">
        <v>411</v>
      </c>
      <c r="AJ81" s="18" t="s">
        <v>1740</v>
      </c>
      <c r="AK81" s="18" t="s">
        <v>1740</v>
      </c>
      <c r="AL81" s="18" t="s">
        <v>1485</v>
      </c>
      <c r="AN81" s="24"/>
      <c r="AO81" s="165">
        <v>0.875</v>
      </c>
      <c r="AP81" s="24">
        <v>300</v>
      </c>
      <c r="AQ81" s="24">
        <v>0</v>
      </c>
      <c r="AR81" s="24">
        <v>25</v>
      </c>
      <c r="AS81" s="24"/>
      <c r="AT81" s="171">
        <f>+(AT82-AT78)/30*20+AT78</f>
        <v>793</v>
      </c>
      <c r="AU81" s="24">
        <v>0</v>
      </c>
      <c r="AV81" s="24">
        <v>3</v>
      </c>
      <c r="AW81" s="24">
        <f>AT81*AV81/100</f>
        <v>23.79</v>
      </c>
      <c r="AX81" s="179">
        <v>0</v>
      </c>
      <c r="AZ81" s="23" t="b">
        <v>0</v>
      </c>
      <c r="BA81" s="24"/>
      <c r="BB81" s="349" t="s">
        <v>1741</v>
      </c>
      <c r="BC81" s="349" t="s">
        <v>1089</v>
      </c>
      <c r="BD81" s="350">
        <v>2.0898900000000002E-2</v>
      </c>
      <c r="BE81" s="349" t="s">
        <v>1076</v>
      </c>
      <c r="BF81" s="114"/>
      <c r="BG81" s="114"/>
      <c r="BH81" s="18">
        <v>-0.40550000000000003</v>
      </c>
      <c r="BI81" s="18">
        <v>-6.1999999999999998E-3</v>
      </c>
      <c r="BJ81" s="18" t="s">
        <v>1474</v>
      </c>
      <c r="BK81" s="114" t="s">
        <v>1748</v>
      </c>
      <c r="BL81" s="18" t="s">
        <v>1459</v>
      </c>
      <c r="BM81" s="114" t="s">
        <v>1743</v>
      </c>
      <c r="BN81" s="114"/>
      <c r="BO81" s="140"/>
    </row>
    <row r="82" spans="1:70">
      <c r="A82" s="234" t="b">
        <v>0</v>
      </c>
      <c r="B82" s="235" t="s">
        <v>1536</v>
      </c>
      <c r="C82" s="235" t="s">
        <v>1335</v>
      </c>
      <c r="D82" s="23" t="b">
        <v>0</v>
      </c>
      <c r="E82" s="23" t="b">
        <v>0</v>
      </c>
      <c r="F82" s="31" t="s">
        <v>1746</v>
      </c>
      <c r="G82" s="18" t="s">
        <v>1747</v>
      </c>
      <c r="I82" s="18" t="s">
        <v>245</v>
      </c>
      <c r="J82" s="47" t="s">
        <v>909</v>
      </c>
      <c r="K82" t="s">
        <v>908</v>
      </c>
      <c r="L82" s="24" t="s">
        <v>263</v>
      </c>
      <c r="M82" s="24" t="s">
        <v>277</v>
      </c>
      <c r="N82" s="24" t="s">
        <v>290</v>
      </c>
      <c r="O82" s="24" t="s">
        <v>304</v>
      </c>
      <c r="P82" s="24"/>
      <c r="Q82" s="24">
        <v>2040</v>
      </c>
      <c r="R82" s="24" t="s">
        <v>456</v>
      </c>
      <c r="S82" s="24" t="s">
        <v>475</v>
      </c>
      <c r="T82" s="165">
        <v>2025</v>
      </c>
      <c r="U82" s="189">
        <v>9</v>
      </c>
      <c r="V82" s="24" t="str">
        <f t="shared" si="8"/>
        <v>Mature</v>
      </c>
      <c r="X82" s="23" t="b">
        <v>0</v>
      </c>
      <c r="Y82" s="24">
        <v>0.82</v>
      </c>
      <c r="AA82" s="24" t="s">
        <v>1749</v>
      </c>
      <c r="AB82" s="24" t="s">
        <v>396</v>
      </c>
      <c r="AE82" s="24" t="s">
        <v>1738</v>
      </c>
      <c r="AF82" s="24" t="s">
        <v>1482</v>
      </c>
      <c r="AG82" s="24" t="s">
        <v>1739</v>
      </c>
      <c r="AH82" s="24" t="s">
        <v>1739</v>
      </c>
      <c r="AI82" s="18" t="s">
        <v>411</v>
      </c>
      <c r="AJ82" s="18" t="s">
        <v>1740</v>
      </c>
      <c r="AK82" s="18" t="s">
        <v>1740</v>
      </c>
      <c r="AL82" s="18" t="s">
        <v>1485</v>
      </c>
      <c r="AN82" s="24"/>
      <c r="AO82" s="165">
        <v>0.875</v>
      </c>
      <c r="AP82" s="24">
        <v>300</v>
      </c>
      <c r="AQ82" s="24">
        <v>0</v>
      </c>
      <c r="AR82" s="24">
        <v>25</v>
      </c>
      <c r="AS82" s="24"/>
      <c r="AT82" s="171">
        <v>700</v>
      </c>
      <c r="AU82" s="24">
        <v>0</v>
      </c>
      <c r="AV82" s="24">
        <v>3</v>
      </c>
      <c r="AW82" s="24">
        <f>AT82*AV82/100</f>
        <v>21</v>
      </c>
      <c r="AX82" s="179">
        <v>0</v>
      </c>
      <c r="AZ82" s="23" t="b">
        <v>0</v>
      </c>
      <c r="BA82" s="24"/>
      <c r="BB82" s="349" t="s">
        <v>1741</v>
      </c>
      <c r="BC82" s="349" t="s">
        <v>1089</v>
      </c>
      <c r="BD82" s="350">
        <v>2.0898900000000002E-2</v>
      </c>
      <c r="BE82" s="349" t="s">
        <v>1076</v>
      </c>
      <c r="BF82" s="114"/>
      <c r="BG82" s="114"/>
      <c r="BH82" s="18">
        <v>-0.40550000000000003</v>
      </c>
      <c r="BI82" s="18">
        <v>-6.1999999999999998E-3</v>
      </c>
      <c r="BJ82" s="18" t="s">
        <v>1474</v>
      </c>
      <c r="BK82" s="114" t="s">
        <v>1742</v>
      </c>
      <c r="BL82" s="18" t="s">
        <v>1459</v>
      </c>
      <c r="BM82" s="114" t="s">
        <v>1743</v>
      </c>
      <c r="BN82" s="114"/>
      <c r="BO82" s="140"/>
    </row>
    <row r="83" spans="1:70">
      <c r="A83" s="234" t="b">
        <v>0</v>
      </c>
      <c r="B83" s="235" t="s">
        <v>1536</v>
      </c>
      <c r="C83" s="235" t="s">
        <v>1335</v>
      </c>
      <c r="D83" s="23" t="b">
        <v>0</v>
      </c>
      <c r="E83" s="23" t="b">
        <v>0</v>
      </c>
      <c r="F83" s="31" t="s">
        <v>1750</v>
      </c>
      <c r="G83" s="18" t="s">
        <v>1751</v>
      </c>
      <c r="I83" s="18" t="s">
        <v>245</v>
      </c>
      <c r="J83" s="47" t="s">
        <v>909</v>
      </c>
      <c r="K83" t="s">
        <v>908</v>
      </c>
      <c r="L83" s="24" t="s">
        <v>263</v>
      </c>
      <c r="M83" s="24" t="s">
        <v>277</v>
      </c>
      <c r="N83" s="24" t="s">
        <v>290</v>
      </c>
      <c r="O83" s="24" t="s">
        <v>304</v>
      </c>
      <c r="P83" s="24"/>
      <c r="Q83" s="24">
        <v>2050</v>
      </c>
      <c r="R83" s="24" t="s">
        <v>456</v>
      </c>
      <c r="S83" s="24" t="s">
        <v>475</v>
      </c>
      <c r="T83" s="165">
        <v>2025</v>
      </c>
      <c r="U83" s="189">
        <v>9</v>
      </c>
      <c r="V83" s="24" t="str">
        <f t="shared" si="8"/>
        <v>Mature</v>
      </c>
      <c r="X83" s="23" t="b">
        <v>0</v>
      </c>
      <c r="Y83" s="24">
        <v>0.82</v>
      </c>
      <c r="AA83" s="24" t="s">
        <v>1607</v>
      </c>
      <c r="AB83" s="24" t="s">
        <v>396</v>
      </c>
      <c r="AE83" s="24" t="s">
        <v>1738</v>
      </c>
      <c r="AF83" s="24" t="s">
        <v>1482</v>
      </c>
      <c r="AG83" s="24" t="s">
        <v>1739</v>
      </c>
      <c r="AH83" s="24" t="s">
        <v>1739</v>
      </c>
      <c r="AI83" s="18" t="s">
        <v>411</v>
      </c>
      <c r="AJ83" s="18" t="s">
        <v>1740</v>
      </c>
      <c r="AK83" s="18" t="s">
        <v>1740</v>
      </c>
      <c r="AL83" s="18" t="s">
        <v>1485</v>
      </c>
      <c r="AN83" s="24"/>
      <c r="AO83" s="165">
        <v>0.875</v>
      </c>
      <c r="AP83" s="24">
        <v>300</v>
      </c>
      <c r="AQ83" s="24">
        <v>0</v>
      </c>
      <c r="AR83" s="24">
        <v>25</v>
      </c>
      <c r="AS83" s="24"/>
      <c r="AT83" s="171">
        <v>630</v>
      </c>
      <c r="AU83" s="24">
        <v>0</v>
      </c>
      <c r="AV83" s="24">
        <v>3</v>
      </c>
      <c r="AW83" s="24">
        <f>AT83*AV83/100</f>
        <v>18.899999999999999</v>
      </c>
      <c r="AX83" s="179">
        <v>0</v>
      </c>
      <c r="AZ83" s="23" t="b">
        <v>0</v>
      </c>
      <c r="BA83" s="24"/>
      <c r="BB83" s="349" t="s">
        <v>1741</v>
      </c>
      <c r="BC83" s="349" t="s">
        <v>1089</v>
      </c>
      <c r="BD83" s="350">
        <v>1.6415200000000001E-2</v>
      </c>
      <c r="BE83" s="349" t="s">
        <v>1077</v>
      </c>
      <c r="BF83" s="114"/>
      <c r="BG83" s="114"/>
      <c r="BH83" s="18">
        <v>-0.40550000000000003</v>
      </c>
      <c r="BI83" s="18">
        <v>-6.1999999999999998E-3</v>
      </c>
      <c r="BJ83" s="18" t="s">
        <v>1474</v>
      </c>
      <c r="BK83" s="114" t="s">
        <v>1742</v>
      </c>
      <c r="BL83" s="18" t="s">
        <v>1459</v>
      </c>
      <c r="BM83" s="114" t="s">
        <v>1743</v>
      </c>
      <c r="BN83" s="114"/>
      <c r="BO83" s="140"/>
    </row>
    <row r="84" spans="1:70" ht="124.8">
      <c r="A84" s="23" t="b">
        <v>1</v>
      </c>
      <c r="B84" s="57" t="s">
        <v>1752</v>
      </c>
      <c r="C84" s="57" t="s">
        <v>1469</v>
      </c>
      <c r="D84" s="23" t="b">
        <v>0</v>
      </c>
      <c r="E84" s="23" t="b">
        <v>0</v>
      </c>
      <c r="F84" s="31" t="s">
        <v>1753</v>
      </c>
      <c r="G84" s="18" t="s">
        <v>1754</v>
      </c>
      <c r="I84" s="18" t="s">
        <v>247</v>
      </c>
      <c r="J84" s="47" t="s">
        <v>1755</v>
      </c>
      <c r="K84" s="47" t="s">
        <v>298</v>
      </c>
      <c r="L84" s="24" t="s">
        <v>257</v>
      </c>
      <c r="M84" s="24" t="s">
        <v>284</v>
      </c>
      <c r="N84" s="24" t="s">
        <v>298</v>
      </c>
      <c r="O84" s="24" t="s">
        <v>304</v>
      </c>
      <c r="P84" s="24"/>
      <c r="Q84" s="24">
        <v>2030</v>
      </c>
      <c r="R84" s="24" t="s">
        <v>456</v>
      </c>
      <c r="S84" s="24" t="s">
        <v>475</v>
      </c>
      <c r="T84" s="24">
        <v>2024</v>
      </c>
      <c r="U84" s="192" t="s">
        <v>1756</v>
      </c>
      <c r="V84" s="24" t="str">
        <f t="shared" si="8"/>
        <v>Prototype</v>
      </c>
      <c r="W84" s="24" t="s">
        <v>1447</v>
      </c>
      <c r="X84" s="23" t="b">
        <v>0</v>
      </c>
      <c r="Y84" s="57"/>
      <c r="AA84" s="24" t="s">
        <v>1757</v>
      </c>
      <c r="AB84" s="25" t="s">
        <v>396</v>
      </c>
      <c r="AE84" s="184" t="s">
        <v>1758</v>
      </c>
      <c r="AF84" s="24" t="s">
        <v>1759</v>
      </c>
      <c r="AG84" s="24" t="s">
        <v>1760</v>
      </c>
      <c r="AH84" s="24" t="s">
        <v>417</v>
      </c>
      <c r="AI84" s="18" t="s">
        <v>417</v>
      </c>
      <c r="AJ84" s="184" t="s">
        <v>1761</v>
      </c>
      <c r="AK84" s="239">
        <v>1168</v>
      </c>
      <c r="AL84" s="24" t="s">
        <v>1762</v>
      </c>
      <c r="AO84" s="194">
        <v>0.998</v>
      </c>
      <c r="AP84" s="24">
        <v>630</v>
      </c>
      <c r="AQ84" s="24">
        <v>0</v>
      </c>
      <c r="AR84" s="24">
        <v>25</v>
      </c>
      <c r="AS84" s="24">
        <v>0</v>
      </c>
      <c r="AT84" s="228">
        <v>1000</v>
      </c>
      <c r="AU84" s="24">
        <v>0</v>
      </c>
      <c r="AV84" s="111">
        <v>3</v>
      </c>
      <c r="AW84" s="24">
        <f>ROUNDUP(+AV84*AT84%,0)</f>
        <v>30</v>
      </c>
      <c r="AX84" s="175">
        <v>0</v>
      </c>
      <c r="AZ84" s="23" t="b">
        <v>0</v>
      </c>
      <c r="BA84" s="24" t="s">
        <v>1497</v>
      </c>
      <c r="BB84" s="349" t="s">
        <v>1763</v>
      </c>
      <c r="BC84" s="349" t="s">
        <v>1089</v>
      </c>
      <c r="BD84" s="350">
        <v>5.2506999999999996E-3</v>
      </c>
      <c r="BE84" s="349" t="s">
        <v>1075</v>
      </c>
      <c r="BF84" s="18" t="s">
        <v>1764</v>
      </c>
      <c r="BG84" s="18" t="s">
        <v>1765</v>
      </c>
      <c r="BH84" s="18">
        <v>-0.18990000000000001</v>
      </c>
      <c r="BI84" s="18">
        <v>8.6999999999999994E-3</v>
      </c>
      <c r="BJ84" s="18" t="s">
        <v>1474</v>
      </c>
      <c r="BK84" s="25" t="s">
        <v>1766</v>
      </c>
      <c r="BL84" s="18" t="s">
        <v>1459</v>
      </c>
      <c r="BM84" s="105" t="s">
        <v>1767</v>
      </c>
      <c r="BO84" s="140" t="s">
        <v>1643</v>
      </c>
    </row>
    <row r="85" spans="1:70" ht="109.2">
      <c r="A85" s="204" t="b">
        <v>1</v>
      </c>
      <c r="B85" s="150" t="s">
        <v>1752</v>
      </c>
      <c r="C85" s="150" t="s">
        <v>1469</v>
      </c>
      <c r="D85" s="204" t="b">
        <v>0</v>
      </c>
      <c r="E85" s="204" t="b">
        <v>0</v>
      </c>
      <c r="F85" s="206" t="s">
        <v>1768</v>
      </c>
      <c r="G85" s="159" t="s">
        <v>1769</v>
      </c>
      <c r="H85" s="206"/>
      <c r="I85" s="159" t="s">
        <v>247</v>
      </c>
      <c r="J85" s="207" t="s">
        <v>682</v>
      </c>
      <c r="K85" s="147" t="s">
        <v>1770</v>
      </c>
      <c r="L85" s="150"/>
      <c r="M85" s="150"/>
      <c r="N85" s="150"/>
      <c r="O85" s="150" t="s">
        <v>304</v>
      </c>
      <c r="P85" s="150"/>
      <c r="Q85" s="150">
        <v>2040</v>
      </c>
      <c r="R85" s="150" t="s">
        <v>456</v>
      </c>
      <c r="S85" s="150" t="s">
        <v>475</v>
      </c>
      <c r="T85" s="150">
        <v>2024</v>
      </c>
      <c r="U85" s="242" t="s">
        <v>1756</v>
      </c>
      <c r="V85" s="150" t="str">
        <f t="shared" si="8"/>
        <v>Prototype</v>
      </c>
      <c r="W85" s="150" t="s">
        <v>1447</v>
      </c>
      <c r="X85" s="204" t="b">
        <v>0</v>
      </c>
      <c r="Y85" s="220"/>
      <c r="Z85" s="150"/>
      <c r="AA85" s="150" t="s">
        <v>1757</v>
      </c>
      <c r="AB85" s="238" t="s">
        <v>396</v>
      </c>
      <c r="AC85" s="209"/>
      <c r="AD85" s="150"/>
      <c r="AE85" s="209" t="s">
        <v>1758</v>
      </c>
      <c r="AF85" s="150" t="s">
        <v>1759</v>
      </c>
      <c r="AG85" s="150" t="s">
        <v>1760</v>
      </c>
      <c r="AH85" s="150" t="s">
        <v>417</v>
      </c>
      <c r="AI85" s="159" t="s">
        <v>417</v>
      </c>
      <c r="AJ85" s="209" t="s">
        <v>1771</v>
      </c>
      <c r="AK85" s="243">
        <v>1168</v>
      </c>
      <c r="AL85" s="150" t="s">
        <v>1482</v>
      </c>
      <c r="AM85" s="209"/>
      <c r="AN85" s="159"/>
      <c r="AO85" s="211">
        <v>0.998</v>
      </c>
      <c r="AP85" s="150">
        <v>630</v>
      </c>
      <c r="AQ85" s="150">
        <v>0</v>
      </c>
      <c r="AR85" s="150">
        <v>25</v>
      </c>
      <c r="AS85" s="150">
        <v>0</v>
      </c>
      <c r="AT85" s="246">
        <v>1000</v>
      </c>
      <c r="AU85" s="150">
        <v>0</v>
      </c>
      <c r="AV85" s="214">
        <v>3</v>
      </c>
      <c r="AW85" s="150">
        <f>ROUNDUP(+AV85*AT85%,0)</f>
        <v>30</v>
      </c>
      <c r="AX85" s="226">
        <v>0</v>
      </c>
      <c r="AY85" s="159"/>
      <c r="AZ85" s="204" t="b">
        <v>0</v>
      </c>
      <c r="BA85" s="150" t="s">
        <v>1497</v>
      </c>
      <c r="BB85" s="355" t="s">
        <v>1763</v>
      </c>
      <c r="BC85" s="355" t="s">
        <v>1089</v>
      </c>
      <c r="BD85" s="356">
        <v>3.1405000000000001E-3</v>
      </c>
      <c r="BE85" s="355" t="s">
        <v>1076</v>
      </c>
      <c r="BF85" s="159" t="s">
        <v>1764</v>
      </c>
      <c r="BG85" s="159" t="s">
        <v>1765</v>
      </c>
      <c r="BH85" s="159">
        <v>-0.18990000000000001</v>
      </c>
      <c r="BI85" s="159">
        <v>8.6999999999999994E-3</v>
      </c>
      <c r="BJ85" s="159" t="s">
        <v>1474</v>
      </c>
      <c r="BK85" s="238" t="s">
        <v>1766</v>
      </c>
      <c r="BL85" s="159" t="s">
        <v>1512</v>
      </c>
      <c r="BM85" s="207" t="s">
        <v>1772</v>
      </c>
      <c r="BN85" s="159"/>
      <c r="BO85" s="137" t="s">
        <v>1643</v>
      </c>
    </row>
    <row r="86" spans="1:70" ht="100.5" customHeight="1">
      <c r="A86" s="119" t="b">
        <v>1</v>
      </c>
      <c r="B86" s="120" t="s">
        <v>1476</v>
      </c>
      <c r="C86" s="120"/>
      <c r="D86" s="119" t="b">
        <v>0</v>
      </c>
      <c r="E86" s="119" t="b">
        <v>0</v>
      </c>
      <c r="F86" s="173" t="s">
        <v>1773</v>
      </c>
      <c r="G86" s="143" t="s">
        <v>1774</v>
      </c>
      <c r="H86" s="173"/>
      <c r="I86" s="123" t="s">
        <v>243</v>
      </c>
      <c r="J86" s="124" t="s">
        <v>1775</v>
      </c>
      <c r="K86" s="47" t="s">
        <v>776</v>
      </c>
      <c r="L86" s="174" t="s">
        <v>261</v>
      </c>
      <c r="M86" s="122" t="s">
        <v>232</v>
      </c>
      <c r="N86" s="122"/>
      <c r="O86" s="122" t="s">
        <v>304</v>
      </c>
      <c r="P86" s="122">
        <v>10</v>
      </c>
      <c r="Q86" s="122">
        <v>2030</v>
      </c>
      <c r="R86" s="122" t="s">
        <v>456</v>
      </c>
      <c r="S86" s="122" t="s">
        <v>475</v>
      </c>
      <c r="T86" s="122"/>
      <c r="U86" s="189">
        <v>9</v>
      </c>
      <c r="V86" s="24" t="str">
        <f t="shared" si="8"/>
        <v>Mature</v>
      </c>
      <c r="W86" s="122" t="s">
        <v>1447</v>
      </c>
      <c r="X86" s="119" t="b">
        <v>0</v>
      </c>
      <c r="Y86" s="122">
        <v>0.63</v>
      </c>
      <c r="Z86" s="122"/>
      <c r="AA86" s="122" t="s">
        <v>352</v>
      </c>
      <c r="AB86" s="122" t="s">
        <v>264</v>
      </c>
      <c r="AC86" s="123"/>
      <c r="AD86" s="123"/>
      <c r="AE86" s="184">
        <v>1</v>
      </c>
      <c r="AF86" s="122" t="s">
        <v>1351</v>
      </c>
      <c r="AG86" s="122" t="s">
        <v>396</v>
      </c>
      <c r="AH86" s="122" t="s">
        <v>396</v>
      </c>
      <c r="AI86" s="122" t="s">
        <v>396</v>
      </c>
      <c r="AJ86" s="143">
        <v>0.63</v>
      </c>
      <c r="AK86" s="143">
        <v>0.63</v>
      </c>
      <c r="AL86" s="122" t="s">
        <v>1351</v>
      </c>
      <c r="AM86" s="123"/>
      <c r="AN86" s="123"/>
      <c r="AO86" s="189" t="s">
        <v>264</v>
      </c>
      <c r="AP86" s="122">
        <v>0</v>
      </c>
      <c r="AQ86" s="122">
        <v>0</v>
      </c>
      <c r="AR86" s="122">
        <v>25</v>
      </c>
      <c r="AS86" s="122">
        <v>0</v>
      </c>
      <c r="AT86" s="231">
        <v>875</v>
      </c>
      <c r="AU86" s="122">
        <v>0</v>
      </c>
      <c r="AV86" s="230">
        <v>0.04</v>
      </c>
      <c r="AW86" s="122">
        <v>35</v>
      </c>
      <c r="AX86" s="177">
        <v>0</v>
      </c>
      <c r="AY86" s="123"/>
      <c r="AZ86" s="119" t="b">
        <v>0</v>
      </c>
      <c r="BA86" s="122" t="s">
        <v>1456</v>
      </c>
      <c r="BB86" s="332" t="s">
        <v>1776</v>
      </c>
      <c r="BC86" s="332" t="s">
        <v>1081</v>
      </c>
      <c r="BD86" s="344">
        <v>526.37912700000004</v>
      </c>
      <c r="BE86" s="349" t="s">
        <v>1075</v>
      </c>
      <c r="BF86" s="18">
        <v>0</v>
      </c>
      <c r="BG86" s="18">
        <v>1000</v>
      </c>
      <c r="BH86" s="143" t="s">
        <v>264</v>
      </c>
      <c r="BI86" s="143" t="s">
        <v>264</v>
      </c>
      <c r="BJ86" s="143" t="s">
        <v>264</v>
      </c>
      <c r="BK86" s="123" t="s">
        <v>1777</v>
      </c>
      <c r="BL86" s="18" t="s">
        <v>1459</v>
      </c>
      <c r="BM86" s="121" t="s">
        <v>1778</v>
      </c>
      <c r="BN86" s="123"/>
      <c r="BO86" s="137" t="s">
        <v>1779</v>
      </c>
    </row>
    <row r="87" spans="1:70" s="159" customFormat="1" ht="51.75" customHeight="1">
      <c r="A87" s="119" t="b">
        <v>1</v>
      </c>
      <c r="B87" s="120" t="s">
        <v>1476</v>
      </c>
      <c r="C87" s="120"/>
      <c r="D87" s="119" t="b">
        <v>0</v>
      </c>
      <c r="E87" s="119" t="b">
        <v>0</v>
      </c>
      <c r="F87" s="173" t="s">
        <v>1780</v>
      </c>
      <c r="G87" s="143" t="s">
        <v>1781</v>
      </c>
      <c r="H87" s="173"/>
      <c r="I87" s="123" t="s">
        <v>243</v>
      </c>
      <c r="J87" s="124" t="s">
        <v>1782</v>
      </c>
      <c r="K87" s="47" t="s">
        <v>776</v>
      </c>
      <c r="L87" s="174" t="s">
        <v>261</v>
      </c>
      <c r="M87" s="122" t="s">
        <v>232</v>
      </c>
      <c r="N87" s="122"/>
      <c r="O87" s="122" t="s">
        <v>304</v>
      </c>
      <c r="P87" s="122">
        <v>10</v>
      </c>
      <c r="Q87" s="122">
        <v>2040</v>
      </c>
      <c r="R87" s="122" t="s">
        <v>456</v>
      </c>
      <c r="S87" s="122" t="s">
        <v>475</v>
      </c>
      <c r="T87" s="122"/>
      <c r="U87" s="189">
        <v>9</v>
      </c>
      <c r="V87" s="24" t="str">
        <f t="shared" si="8"/>
        <v>Mature</v>
      </c>
      <c r="W87" s="122" t="s">
        <v>1447</v>
      </c>
      <c r="X87" s="119" t="b">
        <v>0</v>
      </c>
      <c r="Y87" s="122">
        <v>0.65</v>
      </c>
      <c r="Z87" s="122"/>
      <c r="AA87" s="122" t="s">
        <v>352</v>
      </c>
      <c r="AB87" s="122" t="s">
        <v>264</v>
      </c>
      <c r="AC87" s="123"/>
      <c r="AD87" s="123"/>
      <c r="AE87" s="184">
        <v>1</v>
      </c>
      <c r="AF87" s="122" t="s">
        <v>1351</v>
      </c>
      <c r="AG87" s="122" t="s">
        <v>396</v>
      </c>
      <c r="AH87" s="122" t="s">
        <v>396</v>
      </c>
      <c r="AI87" s="122" t="s">
        <v>396</v>
      </c>
      <c r="AJ87" s="143" t="s">
        <v>1783</v>
      </c>
      <c r="AK87" s="143" t="s">
        <v>1783</v>
      </c>
      <c r="AL87" s="122" t="s">
        <v>1351</v>
      </c>
      <c r="AM87" s="123"/>
      <c r="AN87" s="123"/>
      <c r="AO87" s="189" t="s">
        <v>264</v>
      </c>
      <c r="AP87" s="122">
        <v>0</v>
      </c>
      <c r="AQ87" s="122">
        <v>0</v>
      </c>
      <c r="AR87" s="122">
        <v>25</v>
      </c>
      <c r="AS87" s="122">
        <v>0</v>
      </c>
      <c r="AT87" s="231">
        <v>675</v>
      </c>
      <c r="AU87" s="122">
        <v>0</v>
      </c>
      <c r="AV87" s="230">
        <v>0.04</v>
      </c>
      <c r="AW87" s="122">
        <v>27</v>
      </c>
      <c r="AX87" s="177">
        <v>0</v>
      </c>
      <c r="AY87" s="123"/>
      <c r="AZ87" s="119" t="b">
        <v>0</v>
      </c>
      <c r="BA87" s="122" t="s">
        <v>1456</v>
      </c>
      <c r="BB87" s="332" t="s">
        <v>1776</v>
      </c>
      <c r="BC87" s="332" t="s">
        <v>1081</v>
      </c>
      <c r="BD87" s="344">
        <v>353.35229900000002</v>
      </c>
      <c r="BE87" s="349" t="s">
        <v>1076</v>
      </c>
      <c r="BF87" s="143">
        <v>0</v>
      </c>
      <c r="BG87" s="143">
        <v>1000</v>
      </c>
      <c r="BH87" s="143" t="s">
        <v>264</v>
      </c>
      <c r="BI87" s="143" t="s">
        <v>264</v>
      </c>
      <c r="BJ87" s="143" t="s">
        <v>264</v>
      </c>
      <c r="BK87" s="123" t="s">
        <v>1784</v>
      </c>
      <c r="BL87" s="18" t="s">
        <v>1459</v>
      </c>
      <c r="BM87" s="121" t="s">
        <v>1778</v>
      </c>
      <c r="BN87" s="123"/>
      <c r="BO87" s="137" t="s">
        <v>1779</v>
      </c>
    </row>
    <row r="88" spans="1:70" s="159" customFormat="1" ht="29.25" customHeight="1">
      <c r="A88" s="119" t="b">
        <v>1</v>
      </c>
      <c r="B88" s="120" t="s">
        <v>1476</v>
      </c>
      <c r="C88" s="120"/>
      <c r="D88" s="119" t="b">
        <v>0</v>
      </c>
      <c r="E88" s="119" t="b">
        <v>0</v>
      </c>
      <c r="F88" s="173" t="s">
        <v>1785</v>
      </c>
      <c r="G88" s="143" t="s">
        <v>1786</v>
      </c>
      <c r="H88" s="173"/>
      <c r="I88" s="123" t="s">
        <v>243</v>
      </c>
      <c r="J88" s="124" t="s">
        <v>1787</v>
      </c>
      <c r="K88" s="47" t="s">
        <v>776</v>
      </c>
      <c r="L88" s="174" t="s">
        <v>261</v>
      </c>
      <c r="M88" s="122" t="s">
        <v>232</v>
      </c>
      <c r="N88" s="122"/>
      <c r="O88" s="122" t="s">
        <v>304</v>
      </c>
      <c r="P88" s="122">
        <v>10</v>
      </c>
      <c r="Q88" s="122">
        <v>2050</v>
      </c>
      <c r="R88" s="122" t="s">
        <v>456</v>
      </c>
      <c r="S88" s="122" t="s">
        <v>475</v>
      </c>
      <c r="T88" s="122"/>
      <c r="U88" s="189">
        <v>9</v>
      </c>
      <c r="V88" s="24" t="str">
        <f t="shared" si="8"/>
        <v>Mature</v>
      </c>
      <c r="W88" s="122" t="s">
        <v>1447</v>
      </c>
      <c r="X88" s="119" t="b">
        <v>0</v>
      </c>
      <c r="Y88" s="122">
        <v>0.7</v>
      </c>
      <c r="Z88" s="122"/>
      <c r="AA88" s="122" t="s">
        <v>352</v>
      </c>
      <c r="AB88" s="122" t="s">
        <v>264</v>
      </c>
      <c r="AC88" s="123"/>
      <c r="AD88" s="123"/>
      <c r="AE88" s="184">
        <v>1</v>
      </c>
      <c r="AF88" s="122" t="s">
        <v>1351</v>
      </c>
      <c r="AG88" s="122" t="s">
        <v>396</v>
      </c>
      <c r="AH88" s="122" t="s">
        <v>396</v>
      </c>
      <c r="AI88" s="122" t="s">
        <v>396</v>
      </c>
      <c r="AJ88" s="143" t="s">
        <v>1788</v>
      </c>
      <c r="AK88" s="143" t="s">
        <v>1788</v>
      </c>
      <c r="AL88" s="122" t="s">
        <v>1351</v>
      </c>
      <c r="AM88" s="123"/>
      <c r="AN88" s="123"/>
      <c r="AO88" s="189" t="s">
        <v>264</v>
      </c>
      <c r="AP88" s="122">
        <v>0</v>
      </c>
      <c r="AQ88" s="122">
        <v>0</v>
      </c>
      <c r="AR88" s="122">
        <v>25</v>
      </c>
      <c r="AS88" s="122">
        <v>0</v>
      </c>
      <c r="AT88" s="231">
        <v>475</v>
      </c>
      <c r="AU88" s="122">
        <v>0</v>
      </c>
      <c r="AV88" s="230">
        <v>0.04</v>
      </c>
      <c r="AW88" s="122">
        <v>19</v>
      </c>
      <c r="AX88" s="177">
        <v>0</v>
      </c>
      <c r="AY88" s="123"/>
      <c r="AZ88" s="119" t="b">
        <v>0</v>
      </c>
      <c r="BA88" s="122" t="s">
        <v>1456</v>
      </c>
      <c r="BB88" s="332" t="s">
        <v>1776</v>
      </c>
      <c r="BC88" s="332" t="s">
        <v>1081</v>
      </c>
      <c r="BD88" s="344">
        <v>281.48415</v>
      </c>
      <c r="BE88" s="349" t="s">
        <v>1077</v>
      </c>
      <c r="BF88" s="143">
        <v>0</v>
      </c>
      <c r="BG88" s="143">
        <v>1000</v>
      </c>
      <c r="BH88" s="143" t="s">
        <v>264</v>
      </c>
      <c r="BI88" s="143" t="s">
        <v>264</v>
      </c>
      <c r="BJ88" s="143" t="s">
        <v>264</v>
      </c>
      <c r="BK88" s="123" t="s">
        <v>1777</v>
      </c>
      <c r="BL88" s="18" t="s">
        <v>1459</v>
      </c>
      <c r="BM88" s="121" t="s">
        <v>1778</v>
      </c>
      <c r="BN88" s="123"/>
      <c r="BO88" s="137" t="s">
        <v>1779</v>
      </c>
    </row>
    <row r="89" spans="1:70" s="159" customFormat="1" ht="109.2">
      <c r="A89" s="23" t="b">
        <v>1</v>
      </c>
      <c r="B89" s="57" t="s">
        <v>1752</v>
      </c>
      <c r="C89" s="57" t="s">
        <v>1469</v>
      </c>
      <c r="D89" s="23" t="b">
        <v>0</v>
      </c>
      <c r="E89" s="23" t="b">
        <v>0</v>
      </c>
      <c r="F89" s="31" t="s">
        <v>1789</v>
      </c>
      <c r="G89" s="18" t="s">
        <v>1790</v>
      </c>
      <c r="H89" s="31"/>
      <c r="I89" s="18" t="s">
        <v>234</v>
      </c>
      <c r="J89" s="47" t="s">
        <v>697</v>
      </c>
      <c r="K89" s="47" t="s">
        <v>234</v>
      </c>
      <c r="L89" s="24" t="s">
        <v>265</v>
      </c>
      <c r="M89" s="24" t="s">
        <v>276</v>
      </c>
      <c r="N89" s="24" t="s">
        <v>294</v>
      </c>
      <c r="O89" s="24" t="s">
        <v>304</v>
      </c>
      <c r="P89" s="24"/>
      <c r="Q89" s="24">
        <v>2020</v>
      </c>
      <c r="R89" s="24" t="s">
        <v>456</v>
      </c>
      <c r="S89" s="24" t="s">
        <v>475</v>
      </c>
      <c r="T89" s="165">
        <v>2024</v>
      </c>
      <c r="U89" s="189">
        <v>8</v>
      </c>
      <c r="V89" s="24" t="str">
        <f t="shared" si="8"/>
        <v>Emerging</v>
      </c>
      <c r="W89" s="24"/>
      <c r="X89" s="23" t="b">
        <v>0</v>
      </c>
      <c r="Y89" s="57" t="s">
        <v>1791</v>
      </c>
      <c r="Z89" s="24"/>
      <c r="AA89" s="24" t="s">
        <v>1792</v>
      </c>
      <c r="AB89" s="24" t="s">
        <v>401</v>
      </c>
      <c r="AC89" s="184"/>
      <c r="AD89" s="24"/>
      <c r="AE89" s="24" t="s">
        <v>1793</v>
      </c>
      <c r="AF89" s="24" t="s">
        <v>1794</v>
      </c>
      <c r="AG89" s="24" t="s">
        <v>1795</v>
      </c>
      <c r="AH89" s="24" t="s">
        <v>1796</v>
      </c>
      <c r="AI89" s="18" t="s">
        <v>372</v>
      </c>
      <c r="AJ89" s="18" t="s">
        <v>1797</v>
      </c>
      <c r="AK89" s="18" t="s">
        <v>1798</v>
      </c>
      <c r="AL89" s="18" t="s">
        <v>1613</v>
      </c>
      <c r="AM89" s="184"/>
      <c r="AN89" s="24"/>
      <c r="AO89" s="165">
        <v>0.79700000000000004</v>
      </c>
      <c r="AP89" s="24">
        <v>300</v>
      </c>
      <c r="AQ89" s="24">
        <v>0</v>
      </c>
      <c r="AR89" s="57">
        <v>25</v>
      </c>
      <c r="AS89" s="24">
        <v>0</v>
      </c>
      <c r="AT89" s="27">
        <v>1050</v>
      </c>
      <c r="AU89" s="24">
        <v>0</v>
      </c>
      <c r="AV89" s="57">
        <v>4</v>
      </c>
      <c r="AW89" s="24">
        <f t="shared" ref="AW89:AW96" si="10">AV89%*AT89</f>
        <v>42</v>
      </c>
      <c r="AX89" s="199">
        <v>1.4999999999999999E-2</v>
      </c>
      <c r="AY89" s="18"/>
      <c r="AZ89" s="23" t="b">
        <v>0</v>
      </c>
      <c r="BA89" s="24"/>
      <c r="BB89" s="349" t="s">
        <v>1799</v>
      </c>
      <c r="BC89" s="349" t="s">
        <v>1089</v>
      </c>
      <c r="BD89" s="350">
        <v>1.0858E-3</v>
      </c>
      <c r="BE89" s="349" t="s">
        <v>1074</v>
      </c>
      <c r="BF89" s="18" t="s">
        <v>1800</v>
      </c>
      <c r="BG89" s="18" t="s">
        <v>1801</v>
      </c>
      <c r="BH89" s="18">
        <v>-9.4899999999999998E-2</v>
      </c>
      <c r="BI89" s="18">
        <v>1.55E-2</v>
      </c>
      <c r="BJ89" s="18" t="s">
        <v>1474</v>
      </c>
      <c r="BK89" s="114" t="s">
        <v>1802</v>
      </c>
      <c r="BL89" s="18" t="s">
        <v>1459</v>
      </c>
      <c r="BM89" s="105" t="s">
        <v>1803</v>
      </c>
      <c r="BN89" s="18"/>
      <c r="BO89" s="118" t="s">
        <v>1617</v>
      </c>
    </row>
    <row r="90" spans="1:70" s="159" customFormat="1" ht="109.2">
      <c r="A90" s="23" t="b">
        <v>1</v>
      </c>
      <c r="B90" s="57" t="s">
        <v>1752</v>
      </c>
      <c r="C90" s="57" t="s">
        <v>1469</v>
      </c>
      <c r="D90" s="23" t="b">
        <v>0</v>
      </c>
      <c r="E90" s="23" t="b">
        <v>0</v>
      </c>
      <c r="F90" s="31" t="s">
        <v>1804</v>
      </c>
      <c r="G90" s="18" t="s">
        <v>1805</v>
      </c>
      <c r="H90" s="31"/>
      <c r="I90" s="18" t="s">
        <v>234</v>
      </c>
      <c r="J90" s="47" t="s">
        <v>697</v>
      </c>
      <c r="K90" s="47" t="s">
        <v>234</v>
      </c>
      <c r="L90" s="24" t="s">
        <v>265</v>
      </c>
      <c r="M90" s="24" t="s">
        <v>276</v>
      </c>
      <c r="N90" s="24" t="s">
        <v>294</v>
      </c>
      <c r="O90" s="24" t="s">
        <v>304</v>
      </c>
      <c r="P90" s="24"/>
      <c r="Q90" s="24">
        <v>2030</v>
      </c>
      <c r="R90" s="24" t="s">
        <v>456</v>
      </c>
      <c r="S90" s="24" t="s">
        <v>475</v>
      </c>
      <c r="T90" s="165">
        <v>2024</v>
      </c>
      <c r="U90" s="189">
        <v>8</v>
      </c>
      <c r="V90" s="24" t="str">
        <f t="shared" si="8"/>
        <v>Emerging</v>
      </c>
      <c r="W90" s="24"/>
      <c r="X90" s="23" t="b">
        <v>0</v>
      </c>
      <c r="Y90" s="57" t="s">
        <v>1791</v>
      </c>
      <c r="Z90" s="24"/>
      <c r="AA90" s="24" t="s">
        <v>1792</v>
      </c>
      <c r="AB90" s="24" t="s">
        <v>401</v>
      </c>
      <c r="AC90" s="184"/>
      <c r="AD90" s="24"/>
      <c r="AE90" s="24" t="s">
        <v>1793</v>
      </c>
      <c r="AF90" s="24" t="s">
        <v>1794</v>
      </c>
      <c r="AG90" s="24" t="s">
        <v>1795</v>
      </c>
      <c r="AH90" s="24" t="s">
        <v>1796</v>
      </c>
      <c r="AI90" s="18" t="s">
        <v>372</v>
      </c>
      <c r="AJ90" s="18" t="s">
        <v>1797</v>
      </c>
      <c r="AK90" s="18" t="s">
        <v>1798</v>
      </c>
      <c r="AL90" s="18" t="s">
        <v>1613</v>
      </c>
      <c r="AM90" s="184"/>
      <c r="AN90" s="24"/>
      <c r="AO90" s="165">
        <v>0.79700000000000004</v>
      </c>
      <c r="AP90" s="24">
        <v>300</v>
      </c>
      <c r="AQ90" s="24">
        <v>0</v>
      </c>
      <c r="AR90" s="57">
        <v>25</v>
      </c>
      <c r="AS90" s="24">
        <v>0</v>
      </c>
      <c r="AT90" s="27">
        <v>870</v>
      </c>
      <c r="AU90" s="24">
        <v>0</v>
      </c>
      <c r="AV90" s="57">
        <v>4</v>
      </c>
      <c r="AW90" s="24">
        <f t="shared" si="10"/>
        <v>34.800000000000004</v>
      </c>
      <c r="AX90" s="199">
        <v>1.4999999999999999E-2</v>
      </c>
      <c r="AY90" s="18"/>
      <c r="AZ90" s="23" t="b">
        <v>0</v>
      </c>
      <c r="BA90" s="24"/>
      <c r="BB90" s="349" t="s">
        <v>1799</v>
      </c>
      <c r="BC90" s="349" t="s">
        <v>1089</v>
      </c>
      <c r="BD90" s="350">
        <v>1.0138E-3</v>
      </c>
      <c r="BE90" s="349" t="s">
        <v>1075</v>
      </c>
      <c r="BF90" s="18" t="s">
        <v>1800</v>
      </c>
      <c r="BG90" s="18" t="s">
        <v>1801</v>
      </c>
      <c r="BH90" s="18">
        <v>-9.4899999999999998E-2</v>
      </c>
      <c r="BI90" s="18">
        <v>1.55E-2</v>
      </c>
      <c r="BJ90" s="18" t="s">
        <v>1474</v>
      </c>
      <c r="BK90" s="114" t="s">
        <v>1802</v>
      </c>
      <c r="BL90" s="18" t="s">
        <v>1459</v>
      </c>
      <c r="BM90" s="105" t="s">
        <v>1803</v>
      </c>
      <c r="BN90" s="18"/>
      <c r="BO90" s="118" t="s">
        <v>1617</v>
      </c>
    </row>
    <row r="91" spans="1:70" ht="109.2">
      <c r="A91" s="23" t="b">
        <v>1</v>
      </c>
      <c r="B91" s="57" t="s">
        <v>1752</v>
      </c>
      <c r="C91" s="57" t="s">
        <v>1469</v>
      </c>
      <c r="D91" s="23" t="b">
        <v>0</v>
      </c>
      <c r="E91" s="23" t="b">
        <v>0</v>
      </c>
      <c r="F91" s="31" t="s">
        <v>1806</v>
      </c>
      <c r="G91" s="18" t="s">
        <v>1807</v>
      </c>
      <c r="I91" s="18" t="s">
        <v>234</v>
      </c>
      <c r="J91" s="47" t="s">
        <v>697</v>
      </c>
      <c r="K91" s="47" t="s">
        <v>234</v>
      </c>
      <c r="L91" s="24" t="s">
        <v>265</v>
      </c>
      <c r="M91" s="24" t="s">
        <v>276</v>
      </c>
      <c r="N91" s="24" t="s">
        <v>294</v>
      </c>
      <c r="O91" s="24" t="s">
        <v>304</v>
      </c>
      <c r="P91" s="24"/>
      <c r="Q91" s="24">
        <v>2040</v>
      </c>
      <c r="R91" s="24" t="s">
        <v>456</v>
      </c>
      <c r="S91" s="24" t="s">
        <v>475</v>
      </c>
      <c r="T91" s="165">
        <v>2024</v>
      </c>
      <c r="U91" s="189">
        <v>8</v>
      </c>
      <c r="V91" s="24" t="str">
        <f t="shared" si="8"/>
        <v>Emerging</v>
      </c>
      <c r="X91" s="23" t="b">
        <v>0</v>
      </c>
      <c r="Y91" s="57" t="s">
        <v>1791</v>
      </c>
      <c r="AA91" s="24" t="s">
        <v>1792</v>
      </c>
      <c r="AB91" s="24" t="s">
        <v>401</v>
      </c>
      <c r="AE91" s="24" t="s">
        <v>1793</v>
      </c>
      <c r="AF91" s="24" t="s">
        <v>1794</v>
      </c>
      <c r="AG91" s="24" t="s">
        <v>1795</v>
      </c>
      <c r="AH91" s="24" t="s">
        <v>1796</v>
      </c>
      <c r="AI91" s="18" t="s">
        <v>372</v>
      </c>
      <c r="AJ91" s="18" t="s">
        <v>1797</v>
      </c>
      <c r="AK91" s="18" t="s">
        <v>1798</v>
      </c>
      <c r="AL91" s="18" t="s">
        <v>1613</v>
      </c>
      <c r="AN91" s="24"/>
      <c r="AO91" s="165">
        <v>0.79700000000000004</v>
      </c>
      <c r="AP91" s="24">
        <v>300</v>
      </c>
      <c r="AQ91" s="24">
        <v>0</v>
      </c>
      <c r="AR91" s="57">
        <v>25</v>
      </c>
      <c r="AS91" s="24">
        <v>0</v>
      </c>
      <c r="AT91" s="27">
        <v>770</v>
      </c>
      <c r="AU91" s="24">
        <v>0</v>
      </c>
      <c r="AV91" s="57">
        <v>4</v>
      </c>
      <c r="AW91" s="24">
        <f t="shared" si="10"/>
        <v>30.8</v>
      </c>
      <c r="AX91" s="199">
        <v>1.4999999999999999E-2</v>
      </c>
      <c r="AZ91" s="23" t="b">
        <v>0</v>
      </c>
      <c r="BA91" s="24"/>
      <c r="BB91" s="349" t="s">
        <v>1799</v>
      </c>
      <c r="BC91" s="349" t="s">
        <v>1089</v>
      </c>
      <c r="BD91" s="350">
        <v>7.9880000000000001E-4</v>
      </c>
      <c r="BE91" s="349" t="s">
        <v>1076</v>
      </c>
      <c r="BF91" s="18" t="s">
        <v>1800</v>
      </c>
      <c r="BG91" s="18" t="s">
        <v>1801</v>
      </c>
      <c r="BH91" s="18">
        <v>-9.4899999999999998E-2</v>
      </c>
      <c r="BI91" s="18">
        <v>1.55E-2</v>
      </c>
      <c r="BJ91" s="18" t="s">
        <v>1474</v>
      </c>
      <c r="BK91" s="114" t="s">
        <v>1802</v>
      </c>
      <c r="BL91" s="18" t="s">
        <v>1459</v>
      </c>
      <c r="BM91" s="105" t="s">
        <v>1803</v>
      </c>
      <c r="BO91" s="118" t="s">
        <v>1617</v>
      </c>
    </row>
    <row r="92" spans="1:70" ht="109.2">
      <c r="A92" s="23" t="b">
        <v>1</v>
      </c>
      <c r="B92" s="57" t="s">
        <v>1752</v>
      </c>
      <c r="C92" s="57" t="s">
        <v>1469</v>
      </c>
      <c r="D92" s="23" t="b">
        <v>0</v>
      </c>
      <c r="E92" s="23" t="b">
        <v>0</v>
      </c>
      <c r="F92" s="31" t="s">
        <v>1808</v>
      </c>
      <c r="G92" s="18" t="s">
        <v>1809</v>
      </c>
      <c r="I92" s="18" t="s">
        <v>234</v>
      </c>
      <c r="J92" s="47" t="s">
        <v>697</v>
      </c>
      <c r="K92" s="47" t="s">
        <v>234</v>
      </c>
      <c r="L92" s="24" t="s">
        <v>265</v>
      </c>
      <c r="M92" s="24" t="s">
        <v>276</v>
      </c>
      <c r="N92" s="24" t="s">
        <v>294</v>
      </c>
      <c r="O92" s="24" t="s">
        <v>304</v>
      </c>
      <c r="P92" s="24"/>
      <c r="Q92" s="24">
        <v>2050</v>
      </c>
      <c r="R92" s="24" t="s">
        <v>456</v>
      </c>
      <c r="S92" s="24" t="s">
        <v>475</v>
      </c>
      <c r="T92" s="165">
        <v>2024</v>
      </c>
      <c r="U92" s="189">
        <v>8</v>
      </c>
      <c r="V92" s="24" t="str">
        <f t="shared" si="8"/>
        <v>Emerging</v>
      </c>
      <c r="X92" s="23" t="b">
        <v>0</v>
      </c>
      <c r="Y92" s="57" t="s">
        <v>1791</v>
      </c>
      <c r="AA92" s="24" t="s">
        <v>1792</v>
      </c>
      <c r="AB92" s="24" t="s">
        <v>401</v>
      </c>
      <c r="AE92" s="24" t="s">
        <v>1793</v>
      </c>
      <c r="AF92" s="24" t="s">
        <v>1794</v>
      </c>
      <c r="AG92" s="24" t="s">
        <v>1795</v>
      </c>
      <c r="AH92" s="24" t="s">
        <v>1796</v>
      </c>
      <c r="AI92" s="18" t="s">
        <v>372</v>
      </c>
      <c r="AJ92" s="18" t="s">
        <v>1797</v>
      </c>
      <c r="AK92" s="18" t="s">
        <v>1798</v>
      </c>
      <c r="AL92" s="18" t="s">
        <v>1613</v>
      </c>
      <c r="AN92" s="24"/>
      <c r="AO92" s="165">
        <v>0.79700000000000004</v>
      </c>
      <c r="AP92" s="24">
        <v>300</v>
      </c>
      <c r="AQ92" s="24">
        <v>0</v>
      </c>
      <c r="AR92" s="57">
        <v>25</v>
      </c>
      <c r="AS92" s="24">
        <v>0</v>
      </c>
      <c r="AT92" s="27">
        <v>700</v>
      </c>
      <c r="AU92" s="24">
        <v>0</v>
      </c>
      <c r="AV92" s="57">
        <v>4</v>
      </c>
      <c r="AW92" s="200">
        <f t="shared" si="10"/>
        <v>28</v>
      </c>
      <c r="AX92" s="199">
        <v>1.4999999999999999E-2</v>
      </c>
      <c r="AZ92" s="23" t="b">
        <v>0</v>
      </c>
      <c r="BA92" s="24"/>
      <c r="BB92" s="349" t="s">
        <v>1799</v>
      </c>
      <c r="BC92" s="349" t="s">
        <v>1089</v>
      </c>
      <c r="BD92" s="350">
        <v>5.1469999999999999E-4</v>
      </c>
      <c r="BE92" s="349" t="s">
        <v>1077</v>
      </c>
      <c r="BF92" s="18" t="s">
        <v>1800</v>
      </c>
      <c r="BG92" s="18" t="s">
        <v>1801</v>
      </c>
      <c r="BH92" s="18">
        <v>-9.4899999999999998E-2</v>
      </c>
      <c r="BI92" s="18">
        <v>1.55E-2</v>
      </c>
      <c r="BJ92" s="18" t="s">
        <v>1474</v>
      </c>
      <c r="BK92" s="114" t="s">
        <v>1802</v>
      </c>
      <c r="BL92" s="18" t="s">
        <v>1459</v>
      </c>
      <c r="BM92" s="105" t="s">
        <v>1803</v>
      </c>
      <c r="BO92" s="118" t="s">
        <v>1617</v>
      </c>
    </row>
    <row r="93" spans="1:70" ht="31.2">
      <c r="A93" s="23" t="b">
        <v>0</v>
      </c>
      <c r="B93" s="57" t="s">
        <v>1752</v>
      </c>
      <c r="C93" s="57" t="s">
        <v>1469</v>
      </c>
      <c r="D93" s="23" t="b">
        <v>0</v>
      </c>
      <c r="E93" s="23" t="b">
        <v>0</v>
      </c>
      <c r="F93" s="31" t="s">
        <v>1810</v>
      </c>
      <c r="G93" s="18" t="s">
        <v>1811</v>
      </c>
      <c r="I93" s="18" t="s">
        <v>250</v>
      </c>
      <c r="J93" s="47" t="s">
        <v>694</v>
      </c>
      <c r="K93" s="47" t="s">
        <v>234</v>
      </c>
      <c r="L93" s="24" t="s">
        <v>265</v>
      </c>
      <c r="M93" s="24" t="s">
        <v>276</v>
      </c>
      <c r="N93" s="24" t="s">
        <v>292</v>
      </c>
      <c r="O93" s="24" t="s">
        <v>304</v>
      </c>
      <c r="P93" s="24"/>
      <c r="Q93" s="24">
        <v>2020</v>
      </c>
      <c r="R93" s="24" t="s">
        <v>456</v>
      </c>
      <c r="S93" s="24" t="s">
        <v>475</v>
      </c>
      <c r="T93" s="165">
        <v>2024</v>
      </c>
      <c r="U93" s="189">
        <v>8</v>
      </c>
      <c r="V93" s="24" t="str">
        <f t="shared" si="8"/>
        <v>Emerging</v>
      </c>
      <c r="X93" s="23" t="b">
        <v>0</v>
      </c>
      <c r="Y93" s="57">
        <v>0.68</v>
      </c>
      <c r="AA93" s="24" t="s">
        <v>1792</v>
      </c>
      <c r="AB93" s="24" t="s">
        <v>401</v>
      </c>
      <c r="AE93" s="24" t="s">
        <v>1812</v>
      </c>
      <c r="AF93" s="24" t="s">
        <v>1794</v>
      </c>
      <c r="AG93" s="24" t="s">
        <v>1813</v>
      </c>
      <c r="AH93" s="24" t="s">
        <v>1814</v>
      </c>
      <c r="AI93" s="18" t="s">
        <v>370</v>
      </c>
      <c r="AJ93" s="18" t="s">
        <v>1815</v>
      </c>
      <c r="AK93" s="18" t="s">
        <v>1816</v>
      </c>
      <c r="AL93" s="18" t="s">
        <v>1613</v>
      </c>
      <c r="AN93" s="24"/>
      <c r="AO93" s="165">
        <v>0.79600000000000004</v>
      </c>
      <c r="AP93" s="24">
        <v>300</v>
      </c>
      <c r="AQ93" s="24">
        <v>0</v>
      </c>
      <c r="AR93" s="57">
        <v>25</v>
      </c>
      <c r="AS93" s="24">
        <v>0</v>
      </c>
      <c r="AT93" s="27">
        <v>1050</v>
      </c>
      <c r="AU93" s="24">
        <v>0</v>
      </c>
      <c r="AV93" s="57">
        <v>4</v>
      </c>
      <c r="AW93" s="24">
        <f t="shared" si="10"/>
        <v>42</v>
      </c>
      <c r="AX93" s="199">
        <v>1.4999999999999999E-2</v>
      </c>
      <c r="AZ93" s="23" t="b">
        <v>0</v>
      </c>
      <c r="BA93" s="24"/>
      <c r="BB93" s="349" t="s">
        <v>1799</v>
      </c>
      <c r="BC93" s="349" t="s">
        <v>1089</v>
      </c>
      <c r="BD93" s="350">
        <v>1.0858E-3</v>
      </c>
      <c r="BE93" s="349" t="s">
        <v>1074</v>
      </c>
      <c r="BF93" s="18" t="s">
        <v>1817</v>
      </c>
      <c r="BG93" s="18" t="s">
        <v>1818</v>
      </c>
      <c r="BH93" s="18">
        <v>5.0099999999999999E-2</v>
      </c>
      <c r="BI93" s="18">
        <v>1.47E-2</v>
      </c>
      <c r="BJ93" s="18" t="s">
        <v>1474</v>
      </c>
      <c r="BK93" s="114" t="s">
        <v>1819</v>
      </c>
      <c r="BL93" s="18" t="s">
        <v>1459</v>
      </c>
      <c r="BM93" s="95"/>
      <c r="BO93" s="118" t="s">
        <v>1617</v>
      </c>
    </row>
    <row r="94" spans="1:70" ht="31.2">
      <c r="A94" s="23" t="b">
        <v>0</v>
      </c>
      <c r="B94" s="57" t="s">
        <v>1752</v>
      </c>
      <c r="C94" s="57" t="s">
        <v>1469</v>
      </c>
      <c r="D94" s="23" t="b">
        <v>0</v>
      </c>
      <c r="E94" s="23" t="b">
        <v>0</v>
      </c>
      <c r="F94" s="31" t="s">
        <v>1820</v>
      </c>
      <c r="G94" s="18" t="s">
        <v>1821</v>
      </c>
      <c r="I94" s="18" t="s">
        <v>250</v>
      </c>
      <c r="J94" s="47" t="s">
        <v>694</v>
      </c>
      <c r="K94" s="47" t="s">
        <v>234</v>
      </c>
      <c r="L94" s="24" t="s">
        <v>265</v>
      </c>
      <c r="M94" s="24" t="s">
        <v>276</v>
      </c>
      <c r="N94" s="24" t="s">
        <v>292</v>
      </c>
      <c r="O94" s="24" t="s">
        <v>304</v>
      </c>
      <c r="P94" s="24"/>
      <c r="Q94" s="24">
        <v>2030</v>
      </c>
      <c r="R94" s="24" t="s">
        <v>456</v>
      </c>
      <c r="S94" s="24" t="s">
        <v>475</v>
      </c>
      <c r="T94" s="165">
        <v>2024</v>
      </c>
      <c r="U94" s="189">
        <v>8</v>
      </c>
      <c r="V94" s="24" t="str">
        <f t="shared" si="8"/>
        <v>Emerging</v>
      </c>
      <c r="X94" s="23" t="b">
        <v>0</v>
      </c>
      <c r="Y94" s="57">
        <v>0.72</v>
      </c>
      <c r="AA94" s="24" t="s">
        <v>1792</v>
      </c>
      <c r="AB94" s="24" t="s">
        <v>401</v>
      </c>
      <c r="AE94" s="24" t="s">
        <v>1812</v>
      </c>
      <c r="AF94" s="24" t="s">
        <v>1794</v>
      </c>
      <c r="AG94" s="24" t="s">
        <v>1813</v>
      </c>
      <c r="AH94" s="24" t="s">
        <v>1814</v>
      </c>
      <c r="AI94" s="18" t="s">
        <v>370</v>
      </c>
      <c r="AJ94" s="18" t="s">
        <v>1815</v>
      </c>
      <c r="AK94" s="18" t="s">
        <v>1816</v>
      </c>
      <c r="AL94" s="18" t="s">
        <v>1613</v>
      </c>
      <c r="AN94" s="24"/>
      <c r="AO94" s="165">
        <v>0.79600000000000004</v>
      </c>
      <c r="AP94" s="24">
        <v>300</v>
      </c>
      <c r="AQ94" s="24">
        <v>0</v>
      </c>
      <c r="AR94" s="57">
        <v>25</v>
      </c>
      <c r="AS94" s="24">
        <v>0</v>
      </c>
      <c r="AT94" s="27">
        <v>870</v>
      </c>
      <c r="AU94" s="24">
        <v>0</v>
      </c>
      <c r="AV94" s="57">
        <v>4</v>
      </c>
      <c r="AW94" s="24">
        <f t="shared" si="10"/>
        <v>34.800000000000004</v>
      </c>
      <c r="AX94" s="199">
        <v>1.4999999999999999E-2</v>
      </c>
      <c r="AZ94" s="23" t="b">
        <v>0</v>
      </c>
      <c r="BA94" s="24"/>
      <c r="BB94" s="349" t="s">
        <v>1799</v>
      </c>
      <c r="BC94" s="349" t="s">
        <v>1089</v>
      </c>
      <c r="BD94" s="350">
        <v>1.0138E-3</v>
      </c>
      <c r="BE94" s="349" t="s">
        <v>1075</v>
      </c>
      <c r="BF94" s="18" t="s">
        <v>1817</v>
      </c>
      <c r="BG94" s="18" t="s">
        <v>2364</v>
      </c>
      <c r="BH94" s="18">
        <v>5.0099999999999999E-2</v>
      </c>
      <c r="BI94" s="18">
        <v>1.47E-2</v>
      </c>
      <c r="BJ94" s="18" t="s">
        <v>1474</v>
      </c>
      <c r="BK94" s="114" t="s">
        <v>1819</v>
      </c>
      <c r="BL94" s="18" t="s">
        <v>1459</v>
      </c>
      <c r="BM94" s="95"/>
      <c r="BO94" s="118" t="s">
        <v>1617</v>
      </c>
    </row>
    <row r="95" spans="1:70" ht="31.2">
      <c r="A95" s="23" t="b">
        <v>0</v>
      </c>
      <c r="B95" s="57" t="s">
        <v>1752</v>
      </c>
      <c r="C95" s="57" t="s">
        <v>1469</v>
      </c>
      <c r="D95" s="23" t="b">
        <v>0</v>
      </c>
      <c r="E95" s="23" t="b">
        <v>0</v>
      </c>
      <c r="F95" s="31" t="s">
        <v>1822</v>
      </c>
      <c r="G95" s="18" t="s">
        <v>1823</v>
      </c>
      <c r="I95" s="18" t="s">
        <v>250</v>
      </c>
      <c r="J95" s="47" t="s">
        <v>694</v>
      </c>
      <c r="K95" s="47" t="s">
        <v>234</v>
      </c>
      <c r="L95" s="24" t="s">
        <v>265</v>
      </c>
      <c r="M95" s="24" t="s">
        <v>276</v>
      </c>
      <c r="N95" s="24" t="s">
        <v>292</v>
      </c>
      <c r="O95" s="24" t="s">
        <v>304</v>
      </c>
      <c r="P95" s="24"/>
      <c r="Q95" s="24">
        <v>2040</v>
      </c>
      <c r="R95" s="24" t="s">
        <v>456</v>
      </c>
      <c r="S95" s="24" t="s">
        <v>475</v>
      </c>
      <c r="T95" s="165">
        <v>2024</v>
      </c>
      <c r="U95" s="189">
        <v>8</v>
      </c>
      <c r="V95" s="24" t="str">
        <f t="shared" si="8"/>
        <v>Emerging</v>
      </c>
      <c r="X95" s="23" t="b">
        <v>0</v>
      </c>
      <c r="Y95" s="57">
        <v>0.73</v>
      </c>
      <c r="AA95" s="24" t="s">
        <v>1792</v>
      </c>
      <c r="AB95" s="24" t="s">
        <v>401</v>
      </c>
      <c r="AE95" s="24" t="s">
        <v>1812</v>
      </c>
      <c r="AF95" s="24" t="s">
        <v>1794</v>
      </c>
      <c r="AG95" s="24" t="s">
        <v>1813</v>
      </c>
      <c r="AH95" s="24" t="s">
        <v>1814</v>
      </c>
      <c r="AI95" s="18" t="s">
        <v>370</v>
      </c>
      <c r="AJ95" s="18" t="s">
        <v>1815</v>
      </c>
      <c r="AK95" s="18" t="s">
        <v>1816</v>
      </c>
      <c r="AL95" s="18" t="s">
        <v>1613</v>
      </c>
      <c r="AN95" s="24"/>
      <c r="AO95" s="165">
        <v>0.79600000000000004</v>
      </c>
      <c r="AP95" s="24">
        <v>300</v>
      </c>
      <c r="AQ95" s="24">
        <v>0</v>
      </c>
      <c r="AR95" s="57">
        <v>25</v>
      </c>
      <c r="AS95" s="24">
        <v>0</v>
      </c>
      <c r="AT95" s="27">
        <v>770</v>
      </c>
      <c r="AU95" s="24">
        <v>0</v>
      </c>
      <c r="AV95" s="57">
        <v>4</v>
      </c>
      <c r="AW95" s="24">
        <f t="shared" si="10"/>
        <v>30.8</v>
      </c>
      <c r="AX95" s="199">
        <v>1.4999999999999999E-2</v>
      </c>
      <c r="AZ95" s="23" t="b">
        <v>0</v>
      </c>
      <c r="BA95" s="24"/>
      <c r="BB95" s="349" t="s">
        <v>1799</v>
      </c>
      <c r="BC95" s="349" t="s">
        <v>1089</v>
      </c>
      <c r="BD95" s="350">
        <v>7.9880000000000001E-4</v>
      </c>
      <c r="BE95" s="349" t="s">
        <v>1076</v>
      </c>
      <c r="BF95" s="18" t="s">
        <v>1817</v>
      </c>
      <c r="BG95" s="18" t="s">
        <v>2364</v>
      </c>
      <c r="BH95" s="18">
        <v>5.0099999999999999E-2</v>
      </c>
      <c r="BI95" s="18">
        <v>1.47E-2</v>
      </c>
      <c r="BJ95" s="18" t="s">
        <v>1474</v>
      </c>
      <c r="BK95" s="114" t="s">
        <v>1819</v>
      </c>
      <c r="BL95" s="18" t="s">
        <v>1459</v>
      </c>
      <c r="BM95" s="95"/>
      <c r="BO95" s="118" t="s">
        <v>1617</v>
      </c>
      <c r="BP95" s="18">
        <v>65</v>
      </c>
      <c r="BR95" s="18">
        <v>1</v>
      </c>
    </row>
    <row r="96" spans="1:70" ht="31.2">
      <c r="A96" s="23" t="b">
        <v>0</v>
      </c>
      <c r="B96" s="57" t="s">
        <v>1752</v>
      </c>
      <c r="C96" s="57" t="s">
        <v>1469</v>
      </c>
      <c r="D96" s="23" t="b">
        <v>0</v>
      </c>
      <c r="E96" s="23" t="b">
        <v>0</v>
      </c>
      <c r="F96" s="31" t="s">
        <v>1824</v>
      </c>
      <c r="G96" s="18" t="s">
        <v>1825</v>
      </c>
      <c r="I96" s="18" t="s">
        <v>250</v>
      </c>
      <c r="J96" s="47" t="s">
        <v>694</v>
      </c>
      <c r="K96" s="47" t="s">
        <v>234</v>
      </c>
      <c r="L96" s="24" t="s">
        <v>265</v>
      </c>
      <c r="M96" s="24" t="s">
        <v>276</v>
      </c>
      <c r="N96" s="24" t="s">
        <v>292</v>
      </c>
      <c r="O96" s="24" t="s">
        <v>304</v>
      </c>
      <c r="P96" s="24"/>
      <c r="Q96" s="24">
        <v>2050</v>
      </c>
      <c r="R96" s="24" t="s">
        <v>456</v>
      </c>
      <c r="S96" s="24" t="s">
        <v>475</v>
      </c>
      <c r="T96" s="165">
        <v>2024</v>
      </c>
      <c r="U96" s="189">
        <v>8</v>
      </c>
      <c r="V96" s="24" t="str">
        <f t="shared" si="8"/>
        <v>Emerging</v>
      </c>
      <c r="X96" s="23" t="b">
        <v>0</v>
      </c>
      <c r="Y96" s="57">
        <v>0.74</v>
      </c>
      <c r="AA96" s="24" t="s">
        <v>1792</v>
      </c>
      <c r="AB96" s="24" t="s">
        <v>401</v>
      </c>
      <c r="AE96" s="24" t="s">
        <v>1812</v>
      </c>
      <c r="AF96" s="24" t="s">
        <v>1794</v>
      </c>
      <c r="AG96" s="24" t="s">
        <v>1813</v>
      </c>
      <c r="AH96" s="24" t="s">
        <v>1814</v>
      </c>
      <c r="AI96" s="18" t="s">
        <v>370</v>
      </c>
      <c r="AJ96" s="18" t="s">
        <v>1815</v>
      </c>
      <c r="AK96" s="18" t="s">
        <v>1816</v>
      </c>
      <c r="AL96" s="18" t="s">
        <v>1613</v>
      </c>
      <c r="AN96" s="24"/>
      <c r="AO96" s="165">
        <v>0.79600000000000004</v>
      </c>
      <c r="AP96" s="24">
        <v>300</v>
      </c>
      <c r="AQ96" s="24">
        <v>0</v>
      </c>
      <c r="AR96" s="57">
        <v>25</v>
      </c>
      <c r="AS96" s="24">
        <v>0</v>
      </c>
      <c r="AT96" s="27">
        <v>700</v>
      </c>
      <c r="AU96" s="24">
        <v>0</v>
      </c>
      <c r="AV96" s="57">
        <v>4</v>
      </c>
      <c r="AW96" s="24">
        <f t="shared" si="10"/>
        <v>28</v>
      </c>
      <c r="AX96" s="199">
        <v>1.4999999999999999E-2</v>
      </c>
      <c r="AZ96" s="23" t="b">
        <v>0</v>
      </c>
      <c r="BA96" s="24"/>
      <c r="BB96" s="349" t="s">
        <v>1799</v>
      </c>
      <c r="BC96" s="349" t="s">
        <v>1089</v>
      </c>
      <c r="BD96" s="350">
        <v>5.1469999999999999E-4</v>
      </c>
      <c r="BE96" s="349" t="s">
        <v>1077</v>
      </c>
      <c r="BF96" s="18" t="s">
        <v>1817</v>
      </c>
      <c r="BG96" s="18" t="s">
        <v>1818</v>
      </c>
      <c r="BH96" s="18">
        <v>5.0099999999999999E-2</v>
      </c>
      <c r="BI96" s="18">
        <v>1.47E-2</v>
      </c>
      <c r="BJ96" s="18" t="s">
        <v>1474</v>
      </c>
      <c r="BK96" s="114" t="s">
        <v>1819</v>
      </c>
      <c r="BL96" s="18" t="s">
        <v>1459</v>
      </c>
      <c r="BM96" s="95"/>
      <c r="BO96" s="118" t="s">
        <v>1617</v>
      </c>
      <c r="BP96" s="18">
        <v>65</v>
      </c>
      <c r="BR96" s="18">
        <v>1</v>
      </c>
    </row>
    <row r="97" spans="1:73" ht="109.2">
      <c r="A97" s="204" t="b">
        <v>1</v>
      </c>
      <c r="B97" s="150" t="s">
        <v>1752</v>
      </c>
      <c r="C97" s="150" t="s">
        <v>1469</v>
      </c>
      <c r="D97" s="204" t="b">
        <v>0</v>
      </c>
      <c r="E97" s="204" t="b">
        <v>0</v>
      </c>
      <c r="F97" s="206" t="s">
        <v>1826</v>
      </c>
      <c r="G97" s="159" t="s">
        <v>1827</v>
      </c>
      <c r="H97" s="206"/>
      <c r="I97" s="159" t="s">
        <v>234</v>
      </c>
      <c r="J97" s="207" t="s">
        <v>697</v>
      </c>
      <c r="K97" s="207" t="s">
        <v>234</v>
      </c>
      <c r="L97" s="150" t="s">
        <v>265</v>
      </c>
      <c r="M97" s="150" t="s">
        <v>276</v>
      </c>
      <c r="N97" s="150" t="s">
        <v>294</v>
      </c>
      <c r="O97" s="150" t="s">
        <v>304</v>
      </c>
      <c r="P97" s="150"/>
      <c r="Q97" s="150">
        <v>2020</v>
      </c>
      <c r="R97" s="150" t="s">
        <v>456</v>
      </c>
      <c r="S97" s="150" t="s">
        <v>475</v>
      </c>
      <c r="T97" s="220">
        <v>2024</v>
      </c>
      <c r="U97" s="208">
        <v>8</v>
      </c>
      <c r="V97" s="150" t="str">
        <f t="shared" si="8"/>
        <v>Emerging</v>
      </c>
      <c r="W97" s="150"/>
      <c r="X97" s="204" t="b">
        <v>0</v>
      </c>
      <c r="Y97" s="150" t="s">
        <v>1791</v>
      </c>
      <c r="Z97" s="150"/>
      <c r="AA97" s="150" t="s">
        <v>1828</v>
      </c>
      <c r="AB97" s="150" t="s">
        <v>401</v>
      </c>
      <c r="AC97" s="209"/>
      <c r="AD97" s="150"/>
      <c r="AE97" s="150" t="s">
        <v>1829</v>
      </c>
      <c r="AF97" s="150" t="s">
        <v>1485</v>
      </c>
      <c r="AG97" s="150" t="s">
        <v>1796</v>
      </c>
      <c r="AH97" s="150" t="s">
        <v>1796</v>
      </c>
      <c r="AI97" s="159" t="s">
        <v>372</v>
      </c>
      <c r="AJ97" s="159" t="s">
        <v>1830</v>
      </c>
      <c r="AK97" s="159" t="s">
        <v>1830</v>
      </c>
      <c r="AL97" s="159" t="s">
        <v>1485</v>
      </c>
      <c r="AM97" s="209"/>
      <c r="AN97" s="150"/>
      <c r="AO97" s="220">
        <v>0.79700000000000004</v>
      </c>
      <c r="AP97" s="150">
        <v>300</v>
      </c>
      <c r="AQ97" s="150">
        <v>0</v>
      </c>
      <c r="AR97" s="150">
        <v>25</v>
      </c>
      <c r="AS97" s="150">
        <v>0</v>
      </c>
      <c r="AT97" s="227">
        <v>3750</v>
      </c>
      <c r="AU97" s="150">
        <v>0</v>
      </c>
      <c r="AV97" s="214">
        <f t="shared" ref="AV97:AV103" si="11">+AW97/AT97%</f>
        <v>2.2666666666666666</v>
      </c>
      <c r="AW97" s="150">
        <v>85</v>
      </c>
      <c r="AX97" s="215">
        <v>0</v>
      </c>
      <c r="AY97" s="159"/>
      <c r="AZ97" s="204" t="b">
        <v>0</v>
      </c>
      <c r="BA97" s="150"/>
      <c r="BB97" s="351" t="s">
        <v>1799</v>
      </c>
      <c r="BC97" s="351" t="s">
        <v>1089</v>
      </c>
      <c r="BD97" s="352">
        <v>5.1469999999999999E-4</v>
      </c>
      <c r="BE97" s="351" t="s">
        <v>1077</v>
      </c>
      <c r="BF97" s="159" t="s">
        <v>1800</v>
      </c>
      <c r="BG97" s="159" t="s">
        <v>1801</v>
      </c>
      <c r="BH97" s="159">
        <v>-9.4899999999999998E-2</v>
      </c>
      <c r="BI97" s="159">
        <v>1.55E-2</v>
      </c>
      <c r="BJ97" s="159" t="s">
        <v>1474</v>
      </c>
      <c r="BK97" s="159" t="s">
        <v>1802</v>
      </c>
      <c r="BL97" s="159" t="s">
        <v>1512</v>
      </c>
      <c r="BM97" s="207" t="s">
        <v>1803</v>
      </c>
      <c r="BN97" s="159"/>
      <c r="BO97" s="207" t="s">
        <v>1617</v>
      </c>
      <c r="BP97" s="18">
        <v>65</v>
      </c>
      <c r="BR97" s="18">
        <v>1</v>
      </c>
    </row>
    <row r="98" spans="1:73" ht="31.2">
      <c r="A98" s="125" t="b">
        <v>1</v>
      </c>
      <c r="B98" s="94" t="s">
        <v>1476</v>
      </c>
      <c r="C98" s="94"/>
      <c r="D98" s="125" t="b">
        <v>0</v>
      </c>
      <c r="E98" s="125" t="b">
        <v>0</v>
      </c>
      <c r="F98" s="126" t="s">
        <v>1831</v>
      </c>
      <c r="G98" s="18" t="s">
        <v>1832</v>
      </c>
      <c r="H98" s="126"/>
      <c r="I98" s="127" t="s">
        <v>230</v>
      </c>
      <c r="J98" s="105" t="s">
        <v>1833</v>
      </c>
      <c r="K98" s="47" t="s">
        <v>272</v>
      </c>
      <c r="L98" s="128" t="s">
        <v>259</v>
      </c>
      <c r="M98" s="128" t="s">
        <v>275</v>
      </c>
      <c r="N98" s="70"/>
      <c r="O98" s="129" t="s">
        <v>304</v>
      </c>
      <c r="P98" s="70"/>
      <c r="Q98" s="129">
        <v>2040</v>
      </c>
      <c r="R98" s="129" t="s">
        <v>456</v>
      </c>
      <c r="S98" s="129" t="s">
        <v>475</v>
      </c>
      <c r="T98" s="70"/>
      <c r="U98" s="180">
        <v>9</v>
      </c>
      <c r="V98" s="24" t="str">
        <f t="shared" si="8"/>
        <v>Mature</v>
      </c>
      <c r="W98" s="70"/>
      <c r="X98" s="125" t="b">
        <v>0</v>
      </c>
      <c r="Y98" s="70">
        <v>0.65</v>
      </c>
      <c r="Z98" s="70"/>
      <c r="AA98" s="130" t="s">
        <v>396</v>
      </c>
      <c r="AB98" s="130" t="s">
        <v>264</v>
      </c>
      <c r="AC98" s="124"/>
      <c r="AD98" s="124"/>
      <c r="AE98" s="183">
        <v>1</v>
      </c>
      <c r="AF98" s="94" t="s">
        <v>1351</v>
      </c>
      <c r="AG98" s="130" t="s">
        <v>1546</v>
      </c>
      <c r="AH98" s="130" t="s">
        <v>1546</v>
      </c>
      <c r="AI98" s="131" t="s">
        <v>352</v>
      </c>
      <c r="AJ98" s="183" t="s">
        <v>1834</v>
      </c>
      <c r="AK98" s="183" t="s">
        <v>1834</v>
      </c>
      <c r="AL98" s="94" t="s">
        <v>1485</v>
      </c>
      <c r="AM98" s="124"/>
      <c r="AN98" s="124"/>
      <c r="AO98" s="195" t="s">
        <v>264</v>
      </c>
      <c r="AP98" s="129">
        <v>1000</v>
      </c>
      <c r="AQ98" s="129">
        <v>0</v>
      </c>
      <c r="AR98" s="94">
        <v>23</v>
      </c>
      <c r="AS98" s="129">
        <v>0</v>
      </c>
      <c r="AT98" s="132">
        <v>4000</v>
      </c>
      <c r="AU98" s="129">
        <v>0</v>
      </c>
      <c r="AV98" s="111">
        <f t="shared" si="11"/>
        <v>1.125</v>
      </c>
      <c r="AW98" s="70">
        <v>45</v>
      </c>
      <c r="AX98" s="177">
        <v>0</v>
      </c>
      <c r="AY98" s="124"/>
      <c r="AZ98" s="125" t="b">
        <v>0</v>
      </c>
      <c r="BA98" s="24" t="s">
        <v>1456</v>
      </c>
      <c r="BB98" s="349" t="s">
        <v>1567</v>
      </c>
      <c r="BC98" s="349" t="s">
        <v>1081</v>
      </c>
      <c r="BD98" s="350">
        <v>504.85333120000001</v>
      </c>
      <c r="BE98" s="349" t="s">
        <v>1076</v>
      </c>
      <c r="BF98" s="143" t="s">
        <v>264</v>
      </c>
      <c r="BG98" s="143" t="s">
        <v>264</v>
      </c>
      <c r="BH98" s="143" t="s">
        <v>264</v>
      </c>
      <c r="BI98" s="143" t="s">
        <v>264</v>
      </c>
      <c r="BJ98" s="143" t="s">
        <v>264</v>
      </c>
      <c r="BK98" s="124" t="s">
        <v>1835</v>
      </c>
      <c r="BL98" s="18" t="s">
        <v>1459</v>
      </c>
      <c r="BM98" s="121"/>
      <c r="BN98" s="124"/>
      <c r="BO98" s="140" t="s">
        <v>1570</v>
      </c>
      <c r="BP98" s="18">
        <v>65</v>
      </c>
      <c r="BR98" s="18">
        <v>1</v>
      </c>
    </row>
    <row r="99" spans="1:73" ht="46.8">
      <c r="A99" s="125" t="b">
        <v>1</v>
      </c>
      <c r="B99" s="94" t="s">
        <v>1476</v>
      </c>
      <c r="C99" s="94"/>
      <c r="D99" s="125" t="b">
        <v>0</v>
      </c>
      <c r="E99" s="125" t="b">
        <v>0</v>
      </c>
      <c r="F99" s="126" t="s">
        <v>1836</v>
      </c>
      <c r="G99" s="18" t="s">
        <v>1837</v>
      </c>
      <c r="H99" s="126"/>
      <c r="I99" s="127" t="s">
        <v>230</v>
      </c>
      <c r="J99" s="105" t="s">
        <v>1838</v>
      </c>
      <c r="K99" s="47" t="s">
        <v>272</v>
      </c>
      <c r="L99" s="128" t="s">
        <v>259</v>
      </c>
      <c r="M99" s="128" t="s">
        <v>275</v>
      </c>
      <c r="N99" s="70"/>
      <c r="O99" s="129" t="s">
        <v>304</v>
      </c>
      <c r="P99" s="70"/>
      <c r="Q99" s="129">
        <v>2050</v>
      </c>
      <c r="R99" s="129" t="s">
        <v>456</v>
      </c>
      <c r="S99" s="129" t="s">
        <v>475</v>
      </c>
      <c r="T99" s="70"/>
      <c r="U99" s="180">
        <v>9</v>
      </c>
      <c r="V99" s="24" t="str">
        <f t="shared" si="8"/>
        <v>Mature</v>
      </c>
      <c r="W99" s="70"/>
      <c r="X99" s="125" t="b">
        <v>0</v>
      </c>
      <c r="Y99" s="70">
        <v>0.65</v>
      </c>
      <c r="Z99" s="70"/>
      <c r="AA99" s="130" t="s">
        <v>396</v>
      </c>
      <c r="AB99" s="130" t="s">
        <v>264</v>
      </c>
      <c r="AC99" s="124"/>
      <c r="AD99" s="124"/>
      <c r="AE99" s="183">
        <v>1</v>
      </c>
      <c r="AF99" s="94" t="s">
        <v>1351</v>
      </c>
      <c r="AG99" s="130" t="s">
        <v>1546</v>
      </c>
      <c r="AH99" s="130" t="s">
        <v>1546</v>
      </c>
      <c r="AI99" s="131" t="s">
        <v>352</v>
      </c>
      <c r="AJ99" s="183" t="s">
        <v>1839</v>
      </c>
      <c r="AK99" s="183" t="s">
        <v>1839</v>
      </c>
      <c r="AL99" s="94" t="s">
        <v>1485</v>
      </c>
      <c r="AM99" s="124"/>
      <c r="AN99" s="124"/>
      <c r="AO99" s="195" t="s">
        <v>264</v>
      </c>
      <c r="AP99" s="129">
        <v>1000</v>
      </c>
      <c r="AQ99" s="129">
        <v>0</v>
      </c>
      <c r="AR99" s="94">
        <v>23</v>
      </c>
      <c r="AS99" s="129">
        <v>0</v>
      </c>
      <c r="AT99" s="168">
        <v>3000</v>
      </c>
      <c r="AU99" s="129">
        <v>0</v>
      </c>
      <c r="AV99" s="111">
        <f t="shared" si="11"/>
        <v>1.5</v>
      </c>
      <c r="AW99" s="70">
        <v>45</v>
      </c>
      <c r="AX99" s="177">
        <v>0</v>
      </c>
      <c r="AY99" s="124"/>
      <c r="AZ99" s="125" t="b">
        <v>0</v>
      </c>
      <c r="BA99" s="24" t="s">
        <v>1456</v>
      </c>
      <c r="BB99" s="349" t="s">
        <v>1567</v>
      </c>
      <c r="BC99" s="349" t="s">
        <v>1081</v>
      </c>
      <c r="BD99" s="350">
        <v>375.5100789</v>
      </c>
      <c r="BE99" s="349" t="s">
        <v>1077</v>
      </c>
      <c r="BF99" s="143" t="s">
        <v>264</v>
      </c>
      <c r="BG99" s="143" t="s">
        <v>264</v>
      </c>
      <c r="BH99" s="143" t="s">
        <v>264</v>
      </c>
      <c r="BI99" s="143" t="s">
        <v>264</v>
      </c>
      <c r="BJ99" s="143" t="s">
        <v>264</v>
      </c>
      <c r="BK99" s="124" t="s">
        <v>1835</v>
      </c>
      <c r="BL99" s="18" t="s">
        <v>1459</v>
      </c>
      <c r="BM99" s="121" t="s">
        <v>1840</v>
      </c>
      <c r="BN99" s="124"/>
      <c r="BO99" s="140" t="s">
        <v>1570</v>
      </c>
      <c r="BP99" s="18">
        <v>65</v>
      </c>
      <c r="BR99" s="18">
        <v>1</v>
      </c>
    </row>
    <row r="100" spans="1:73" ht="31.2">
      <c r="A100" s="125" t="b">
        <v>1</v>
      </c>
      <c r="B100" s="94" t="s">
        <v>1476</v>
      </c>
      <c r="C100" s="94"/>
      <c r="D100" s="125" t="b">
        <v>0</v>
      </c>
      <c r="E100" s="125" t="b">
        <v>0</v>
      </c>
      <c r="F100" s="126" t="s">
        <v>1841</v>
      </c>
      <c r="G100" s="18" t="s">
        <v>1842</v>
      </c>
      <c r="H100" s="126"/>
      <c r="I100" s="127" t="s">
        <v>230</v>
      </c>
      <c r="J100" s="105" t="s">
        <v>585</v>
      </c>
      <c r="K100" s="47" t="s">
        <v>272</v>
      </c>
      <c r="L100" s="128" t="s">
        <v>259</v>
      </c>
      <c r="M100" s="128" t="s">
        <v>275</v>
      </c>
      <c r="N100" s="70"/>
      <c r="O100" s="129" t="s">
        <v>304</v>
      </c>
      <c r="P100" s="70"/>
      <c r="Q100" s="129">
        <v>2030</v>
      </c>
      <c r="R100" s="129" t="s">
        <v>456</v>
      </c>
      <c r="S100" s="129" t="s">
        <v>475</v>
      </c>
      <c r="T100" s="70"/>
      <c r="U100" s="180">
        <v>9</v>
      </c>
      <c r="V100" s="24" t="str">
        <f t="shared" si="8"/>
        <v>Mature</v>
      </c>
      <c r="W100" s="70"/>
      <c r="X100" s="125" t="b">
        <v>0</v>
      </c>
      <c r="Y100" s="70">
        <v>0.5</v>
      </c>
      <c r="Z100" s="70"/>
      <c r="AA100" s="130" t="s">
        <v>396</v>
      </c>
      <c r="AB100" s="130" t="s">
        <v>264</v>
      </c>
      <c r="AC100" s="124"/>
      <c r="AD100" s="124"/>
      <c r="AE100" s="183">
        <v>1</v>
      </c>
      <c r="AF100" s="94" t="s">
        <v>1351</v>
      </c>
      <c r="AG100" s="130" t="s">
        <v>1574</v>
      </c>
      <c r="AH100" s="130" t="s">
        <v>1574</v>
      </c>
      <c r="AI100" s="131" t="s">
        <v>354</v>
      </c>
      <c r="AJ100" s="183" t="s">
        <v>1843</v>
      </c>
      <c r="AK100" s="183" t="s">
        <v>1843</v>
      </c>
      <c r="AL100" s="94" t="s">
        <v>1485</v>
      </c>
      <c r="AM100" s="124"/>
      <c r="AN100" s="124"/>
      <c r="AO100" s="195" t="s">
        <v>264</v>
      </c>
      <c r="AP100" s="129">
        <v>1000</v>
      </c>
      <c r="AQ100" s="129">
        <v>0</v>
      </c>
      <c r="AR100" s="94">
        <v>23</v>
      </c>
      <c r="AS100" s="129">
        <v>0</v>
      </c>
      <c r="AT100" s="168">
        <v>6000</v>
      </c>
      <c r="AU100" s="129">
        <v>0</v>
      </c>
      <c r="AV100" s="111">
        <f t="shared" si="11"/>
        <v>3.9166666666666665</v>
      </c>
      <c r="AW100" s="70">
        <v>235</v>
      </c>
      <c r="AX100" s="177">
        <v>0</v>
      </c>
      <c r="AY100" s="124"/>
      <c r="AZ100" s="125" t="b">
        <v>0</v>
      </c>
      <c r="BA100" s="24" t="s">
        <v>1456</v>
      </c>
      <c r="BB100" s="349" t="s">
        <v>1567</v>
      </c>
      <c r="BC100" s="349" t="s">
        <v>1081</v>
      </c>
      <c r="BD100" s="350">
        <v>504.85333120000001</v>
      </c>
      <c r="BE100" s="349" t="s">
        <v>1076</v>
      </c>
      <c r="BF100" s="143" t="s">
        <v>264</v>
      </c>
      <c r="BG100" s="143" t="s">
        <v>264</v>
      </c>
      <c r="BH100" s="143" t="s">
        <v>264</v>
      </c>
      <c r="BI100" s="143" t="s">
        <v>264</v>
      </c>
      <c r="BJ100" s="143" t="s">
        <v>264</v>
      </c>
      <c r="BK100" s="18" t="s">
        <v>1844</v>
      </c>
      <c r="BL100" s="18" t="s">
        <v>1459</v>
      </c>
      <c r="BM100" s="121"/>
      <c r="BN100" s="124"/>
      <c r="BO100" s="133" t="s">
        <v>1629</v>
      </c>
      <c r="BP100" s="18">
        <v>65</v>
      </c>
      <c r="BR100" s="18">
        <v>1</v>
      </c>
    </row>
    <row r="101" spans="1:73" ht="46.8">
      <c r="A101" s="125" t="b">
        <v>1</v>
      </c>
      <c r="B101" s="94" t="s">
        <v>1476</v>
      </c>
      <c r="C101" s="94"/>
      <c r="D101" s="125" t="b">
        <v>0</v>
      </c>
      <c r="E101" s="125" t="b">
        <v>0</v>
      </c>
      <c r="F101" s="126" t="s">
        <v>1845</v>
      </c>
      <c r="G101" s="18" t="s">
        <v>1846</v>
      </c>
      <c r="H101" s="126"/>
      <c r="I101" s="127" t="s">
        <v>230</v>
      </c>
      <c r="J101" s="105" t="s">
        <v>1847</v>
      </c>
      <c r="K101" s="47" t="s">
        <v>272</v>
      </c>
      <c r="L101" s="128" t="s">
        <v>259</v>
      </c>
      <c r="M101" s="128" t="s">
        <v>275</v>
      </c>
      <c r="N101" s="70"/>
      <c r="O101" s="129" t="s">
        <v>304</v>
      </c>
      <c r="P101" s="70"/>
      <c r="Q101" s="129">
        <v>2050</v>
      </c>
      <c r="R101" s="129" t="s">
        <v>456</v>
      </c>
      <c r="S101" s="129" t="s">
        <v>475</v>
      </c>
      <c r="T101" s="70"/>
      <c r="U101" s="180">
        <v>9</v>
      </c>
      <c r="V101" s="24" t="str">
        <f t="shared" si="8"/>
        <v>Mature</v>
      </c>
      <c r="W101" s="70"/>
      <c r="X101" s="125" t="b">
        <v>0</v>
      </c>
      <c r="Y101" s="70">
        <v>0.5</v>
      </c>
      <c r="Z101" s="70"/>
      <c r="AA101" s="130" t="s">
        <v>396</v>
      </c>
      <c r="AB101" s="130" t="s">
        <v>264</v>
      </c>
      <c r="AC101" s="124"/>
      <c r="AD101" s="124"/>
      <c r="AE101" s="183">
        <v>1</v>
      </c>
      <c r="AF101" s="94" t="s">
        <v>1351</v>
      </c>
      <c r="AG101" s="130" t="s">
        <v>1574</v>
      </c>
      <c r="AH101" s="130" t="s">
        <v>1574</v>
      </c>
      <c r="AI101" s="131" t="s">
        <v>354</v>
      </c>
      <c r="AJ101" s="183" t="s">
        <v>1848</v>
      </c>
      <c r="AK101" s="183" t="s">
        <v>1848</v>
      </c>
      <c r="AL101" s="94" t="s">
        <v>1485</v>
      </c>
      <c r="AM101" s="124"/>
      <c r="AN101" s="124"/>
      <c r="AO101" s="195" t="s">
        <v>264</v>
      </c>
      <c r="AP101" s="129">
        <v>1000</v>
      </c>
      <c r="AQ101" s="129">
        <v>0</v>
      </c>
      <c r="AR101" s="94">
        <v>23</v>
      </c>
      <c r="AS101" s="129">
        <v>0</v>
      </c>
      <c r="AT101" s="168">
        <v>4000</v>
      </c>
      <c r="AU101" s="129">
        <v>0</v>
      </c>
      <c r="AV101" s="111">
        <f t="shared" si="11"/>
        <v>5</v>
      </c>
      <c r="AW101" s="70">
        <v>200</v>
      </c>
      <c r="AX101" s="177">
        <v>0</v>
      </c>
      <c r="AY101" s="124"/>
      <c r="AZ101" s="125" t="b">
        <v>0</v>
      </c>
      <c r="BA101" s="24" t="s">
        <v>1456</v>
      </c>
      <c r="BB101" s="349" t="s">
        <v>1567</v>
      </c>
      <c r="BC101" s="349" t="s">
        <v>1081</v>
      </c>
      <c r="BD101" s="350">
        <v>375.5100789</v>
      </c>
      <c r="BE101" s="349" t="s">
        <v>1077</v>
      </c>
      <c r="BF101" s="143" t="s">
        <v>264</v>
      </c>
      <c r="BG101" s="143" t="s">
        <v>264</v>
      </c>
      <c r="BH101" s="143" t="s">
        <v>264</v>
      </c>
      <c r="BI101" s="143" t="s">
        <v>264</v>
      </c>
      <c r="BJ101" s="143" t="s">
        <v>264</v>
      </c>
      <c r="BK101" s="18" t="s">
        <v>1844</v>
      </c>
      <c r="BL101" s="18" t="s">
        <v>1459</v>
      </c>
      <c r="BM101" s="121" t="s">
        <v>1849</v>
      </c>
      <c r="BN101" s="124"/>
      <c r="BO101" s="133" t="s">
        <v>1629</v>
      </c>
      <c r="BP101" s="18">
        <v>65</v>
      </c>
      <c r="BR101" s="18">
        <v>1</v>
      </c>
    </row>
    <row r="102" spans="1:73" ht="31.2">
      <c r="A102" s="23" t="b">
        <v>1</v>
      </c>
      <c r="B102" s="57" t="s">
        <v>1536</v>
      </c>
      <c r="C102" s="57"/>
      <c r="D102" s="23" t="b">
        <v>0</v>
      </c>
      <c r="E102" s="23" t="b">
        <v>0</v>
      </c>
      <c r="F102" s="31" t="s">
        <v>1850</v>
      </c>
      <c r="G102" s="18" t="s">
        <v>1851</v>
      </c>
      <c r="I102" s="18" t="s">
        <v>239</v>
      </c>
      <c r="J102" s="47" t="s">
        <v>625</v>
      </c>
      <c r="K102" s="47" t="s">
        <v>1852</v>
      </c>
      <c r="L102" s="24" t="s">
        <v>267</v>
      </c>
      <c r="M102" s="24"/>
      <c r="N102" s="24"/>
      <c r="O102" s="24" t="s">
        <v>304</v>
      </c>
      <c r="P102" s="24"/>
      <c r="Q102" s="24">
        <v>2050</v>
      </c>
      <c r="R102" s="24" t="s">
        <v>456</v>
      </c>
      <c r="S102" s="24" t="s">
        <v>475</v>
      </c>
      <c r="U102" s="189">
        <v>7</v>
      </c>
      <c r="V102" s="24" t="str">
        <f t="shared" si="8"/>
        <v>Emerging</v>
      </c>
      <c r="X102" s="23" t="b">
        <v>0</v>
      </c>
      <c r="Y102" s="24">
        <v>0.85</v>
      </c>
      <c r="AA102" s="24" t="s">
        <v>396</v>
      </c>
      <c r="AB102" s="24" t="s">
        <v>264</v>
      </c>
      <c r="AE102" s="184">
        <v>1</v>
      </c>
      <c r="AF102" s="24" t="s">
        <v>1351</v>
      </c>
      <c r="AG102" s="24" t="s">
        <v>437</v>
      </c>
      <c r="AH102" s="24" t="s">
        <v>437</v>
      </c>
      <c r="AI102" s="24" t="s">
        <v>437</v>
      </c>
      <c r="AJ102" s="184">
        <f>+AE102*Y102</f>
        <v>0.85</v>
      </c>
      <c r="AK102" s="184">
        <v>0.85</v>
      </c>
      <c r="AL102" s="24" t="s">
        <v>1351</v>
      </c>
      <c r="AO102" s="165" t="s">
        <v>264</v>
      </c>
      <c r="AP102" s="24">
        <v>0</v>
      </c>
      <c r="AQ102" s="24">
        <v>0</v>
      </c>
      <c r="AR102" s="24">
        <v>25</v>
      </c>
      <c r="AS102" s="24">
        <v>0</v>
      </c>
      <c r="AT102" s="171">
        <v>765</v>
      </c>
      <c r="AU102" s="24">
        <v>0</v>
      </c>
      <c r="AV102" s="111">
        <f t="shared" si="11"/>
        <v>0.13071895424836602</v>
      </c>
      <c r="AW102" s="24">
        <v>1</v>
      </c>
      <c r="AX102" s="177">
        <v>0</v>
      </c>
      <c r="AZ102" s="23" t="b">
        <v>0</v>
      </c>
      <c r="BA102" s="24" t="s">
        <v>1533</v>
      </c>
      <c r="BB102" s="349" t="s">
        <v>1581</v>
      </c>
      <c r="BC102" s="349" t="s">
        <v>1081</v>
      </c>
      <c r="BD102" s="350">
        <v>18.382648499999998</v>
      </c>
      <c r="BE102" s="349" t="s">
        <v>1077</v>
      </c>
      <c r="BF102" s="143" t="s">
        <v>264</v>
      </c>
      <c r="BG102" s="143" t="s">
        <v>264</v>
      </c>
      <c r="BH102" s="143" t="s">
        <v>264</v>
      </c>
      <c r="BI102" s="143" t="s">
        <v>264</v>
      </c>
      <c r="BJ102" s="143" t="s">
        <v>264</v>
      </c>
      <c r="BK102" s="18" t="s">
        <v>1595</v>
      </c>
      <c r="BL102" s="18" t="s">
        <v>1459</v>
      </c>
      <c r="BM102" s="95"/>
      <c r="BO102" s="116" t="s">
        <v>1629</v>
      </c>
      <c r="BP102" s="18">
        <v>65</v>
      </c>
      <c r="BR102" s="18">
        <v>1</v>
      </c>
    </row>
    <row r="103" spans="1:73" ht="31.2">
      <c r="A103" s="23" t="b">
        <v>0</v>
      </c>
      <c r="B103" s="57" t="s">
        <v>1336</v>
      </c>
      <c r="C103" s="57"/>
      <c r="D103" s="23" t="b">
        <v>0</v>
      </c>
      <c r="E103" s="23" t="b">
        <v>0</v>
      </c>
      <c r="F103" s="31" t="s">
        <v>1853</v>
      </c>
      <c r="G103" s="18" t="s">
        <v>1854</v>
      </c>
      <c r="I103" s="18" t="s">
        <v>249</v>
      </c>
      <c r="J103" s="47" t="s">
        <v>1855</v>
      </c>
      <c r="K103" t="s">
        <v>734</v>
      </c>
      <c r="L103" s="24" t="s">
        <v>258</v>
      </c>
      <c r="M103" s="24" t="s">
        <v>260</v>
      </c>
      <c r="N103" s="24" t="s">
        <v>267</v>
      </c>
      <c r="O103" s="24" t="s">
        <v>304</v>
      </c>
      <c r="P103" s="24"/>
      <c r="Q103" s="24">
        <v>2050</v>
      </c>
      <c r="R103" s="24" t="s">
        <v>456</v>
      </c>
      <c r="S103" s="24" t="s">
        <v>475</v>
      </c>
      <c r="U103" s="189">
        <v>8</v>
      </c>
      <c r="V103" s="24" t="str">
        <f t="shared" si="8"/>
        <v>Emerging</v>
      </c>
      <c r="X103" s="23" t="b">
        <v>0</v>
      </c>
      <c r="Y103" s="24">
        <v>0.42</v>
      </c>
      <c r="AA103" s="24" t="s">
        <v>396</v>
      </c>
      <c r="AB103" s="18" t="s">
        <v>264</v>
      </c>
      <c r="AE103" s="184">
        <v>1</v>
      </c>
      <c r="AF103" s="18" t="s">
        <v>1351</v>
      </c>
      <c r="AG103" s="24" t="s">
        <v>346</v>
      </c>
      <c r="AH103" s="24" t="s">
        <v>346</v>
      </c>
      <c r="AI103" s="24" t="s">
        <v>346</v>
      </c>
      <c r="AJ103" s="184">
        <v>0.42</v>
      </c>
      <c r="AK103" s="184">
        <v>0.42</v>
      </c>
      <c r="AL103" s="18" t="s">
        <v>1351</v>
      </c>
      <c r="AO103" s="194" t="s">
        <v>264</v>
      </c>
      <c r="AP103" s="24">
        <v>1700</v>
      </c>
      <c r="AQ103" s="24">
        <v>400000</v>
      </c>
      <c r="AR103" s="24">
        <v>23</v>
      </c>
      <c r="AS103" s="24">
        <v>0</v>
      </c>
      <c r="AT103" s="166">
        <v>538</v>
      </c>
      <c r="AU103" s="24">
        <v>0</v>
      </c>
      <c r="AV103" s="111">
        <f t="shared" si="11"/>
        <v>4.4609665427509295</v>
      </c>
      <c r="AW103" s="24">
        <v>24</v>
      </c>
      <c r="AX103" s="177">
        <v>2E-3</v>
      </c>
      <c r="AZ103" s="23" t="b">
        <v>0</v>
      </c>
      <c r="BA103" s="24" t="s">
        <v>1456</v>
      </c>
      <c r="BB103" s="349" t="s">
        <v>1491</v>
      </c>
      <c r="BC103" s="349" t="s">
        <v>1081</v>
      </c>
      <c r="BD103" s="350">
        <v>62.633809399999997</v>
      </c>
      <c r="BE103" s="349" t="s">
        <v>1077</v>
      </c>
      <c r="BF103" s="143" t="s">
        <v>264</v>
      </c>
      <c r="BG103" s="143" t="s">
        <v>264</v>
      </c>
      <c r="BH103" s="143" t="s">
        <v>264</v>
      </c>
      <c r="BI103" s="143" t="s">
        <v>264</v>
      </c>
      <c r="BJ103" s="143" t="s">
        <v>264</v>
      </c>
      <c r="BK103" s="18" t="s">
        <v>1542</v>
      </c>
      <c r="BL103" s="18" t="s">
        <v>1459</v>
      </c>
      <c r="BM103" s="114" t="s">
        <v>1856</v>
      </c>
      <c r="BO103" s="115" t="s">
        <v>1629</v>
      </c>
    </row>
    <row r="104" spans="1:73" ht="31.2">
      <c r="A104" s="204" t="b">
        <v>0</v>
      </c>
      <c r="B104" s="150"/>
      <c r="C104" s="150"/>
      <c r="D104" s="204" t="b">
        <v>0</v>
      </c>
      <c r="E104" s="204" t="b">
        <v>0</v>
      </c>
      <c r="F104" s="206" t="s">
        <v>1857</v>
      </c>
      <c r="G104" s="159" t="s">
        <v>1858</v>
      </c>
      <c r="H104" s="206"/>
      <c r="I104" s="159" t="s">
        <v>239</v>
      </c>
      <c r="J104" s="207" t="s">
        <v>593</v>
      </c>
      <c r="K104" s="207" t="s">
        <v>591</v>
      </c>
      <c r="L104" s="150" t="s">
        <v>267</v>
      </c>
      <c r="M104" s="150"/>
      <c r="N104" s="150"/>
      <c r="O104" s="150" t="s">
        <v>304</v>
      </c>
      <c r="P104" s="150"/>
      <c r="Q104" s="150">
        <v>2020</v>
      </c>
      <c r="R104" s="150" t="s">
        <v>456</v>
      </c>
      <c r="S104" s="150" t="s">
        <v>475</v>
      </c>
      <c r="T104" s="150"/>
      <c r="U104" s="208"/>
      <c r="V104" s="150" t="str">
        <f t="shared" si="8"/>
        <v/>
      </c>
      <c r="W104" s="150"/>
      <c r="X104" s="204" t="b">
        <v>0</v>
      </c>
      <c r="Y104" s="150"/>
      <c r="Z104" s="150"/>
      <c r="AA104" s="150" t="s">
        <v>354</v>
      </c>
      <c r="AB104" s="150" t="s">
        <v>264</v>
      </c>
      <c r="AC104" s="209"/>
      <c r="AD104" s="150"/>
      <c r="AE104" s="209">
        <v>1</v>
      </c>
      <c r="AF104" s="150" t="s">
        <v>1351</v>
      </c>
      <c r="AG104" s="150" t="s">
        <v>439</v>
      </c>
      <c r="AH104" s="150" t="s">
        <v>439</v>
      </c>
      <c r="AI104" s="150" t="s">
        <v>439</v>
      </c>
      <c r="AJ104" s="209">
        <v>3</v>
      </c>
      <c r="AK104" s="209">
        <v>3</v>
      </c>
      <c r="AL104" s="150" t="s">
        <v>1351</v>
      </c>
      <c r="AM104" s="209"/>
      <c r="AN104" s="159"/>
      <c r="AO104" s="220" t="s">
        <v>264</v>
      </c>
      <c r="AP104" s="159"/>
      <c r="AQ104" s="159">
        <v>0</v>
      </c>
      <c r="AR104" s="159">
        <v>20</v>
      </c>
      <c r="AS104" s="159">
        <v>0</v>
      </c>
      <c r="AT104" s="221">
        <v>0</v>
      </c>
      <c r="AU104" s="159">
        <v>0</v>
      </c>
      <c r="AV104" s="214">
        <v>0</v>
      </c>
      <c r="AW104" s="159">
        <v>0</v>
      </c>
      <c r="AX104" s="215">
        <v>0</v>
      </c>
      <c r="AY104" s="159"/>
      <c r="AZ104" s="204" t="b">
        <v>0</v>
      </c>
      <c r="BA104" s="150" t="s">
        <v>1533</v>
      </c>
      <c r="BB104" s="351" t="s">
        <v>1715</v>
      </c>
      <c r="BC104" s="351" t="s">
        <v>1081</v>
      </c>
      <c r="BD104" s="352">
        <v>292.10039610000001</v>
      </c>
      <c r="BE104" s="351" t="s">
        <v>1074</v>
      </c>
      <c r="BF104" s="216" t="s">
        <v>264</v>
      </c>
      <c r="BG104" s="216" t="s">
        <v>264</v>
      </c>
      <c r="BH104" s="216" t="s">
        <v>264</v>
      </c>
      <c r="BI104" s="216" t="s">
        <v>264</v>
      </c>
      <c r="BJ104" s="216" t="s">
        <v>264</v>
      </c>
      <c r="BK104" s="159" t="s">
        <v>1859</v>
      </c>
      <c r="BL104" s="159" t="s">
        <v>1512</v>
      </c>
      <c r="BM104" s="159"/>
      <c r="BN104" s="159"/>
      <c r="BO104" s="137" t="s">
        <v>1860</v>
      </c>
    </row>
    <row r="105" spans="1:73" ht="31.2">
      <c r="A105" s="204" t="b">
        <v>0</v>
      </c>
      <c r="B105" s="150"/>
      <c r="C105" s="150"/>
      <c r="D105" s="204" t="b">
        <v>0</v>
      </c>
      <c r="E105" s="204" t="b">
        <v>0</v>
      </c>
      <c r="F105" s="206" t="s">
        <v>1861</v>
      </c>
      <c r="G105" s="159" t="s">
        <v>1862</v>
      </c>
      <c r="H105" s="206"/>
      <c r="I105" s="159" t="s">
        <v>239</v>
      </c>
      <c r="J105" s="207" t="s">
        <v>593</v>
      </c>
      <c r="K105" s="207" t="s">
        <v>591</v>
      </c>
      <c r="L105" s="150" t="s">
        <v>267</v>
      </c>
      <c r="M105" s="150"/>
      <c r="N105" s="150"/>
      <c r="O105" s="150" t="s">
        <v>304</v>
      </c>
      <c r="P105" s="150"/>
      <c r="Q105" s="150">
        <v>2050</v>
      </c>
      <c r="R105" s="150" t="s">
        <v>456</v>
      </c>
      <c r="S105" s="150" t="s">
        <v>475</v>
      </c>
      <c r="T105" s="150"/>
      <c r="U105" s="208"/>
      <c r="V105" s="150" t="str">
        <f t="shared" si="8"/>
        <v/>
      </c>
      <c r="W105" s="150"/>
      <c r="X105" s="204" t="b">
        <v>0</v>
      </c>
      <c r="Y105" s="150"/>
      <c r="Z105" s="150"/>
      <c r="AA105" s="150" t="s">
        <v>354</v>
      </c>
      <c r="AB105" s="150" t="s">
        <v>264</v>
      </c>
      <c r="AC105" s="209"/>
      <c r="AD105" s="150"/>
      <c r="AE105" s="209">
        <v>1</v>
      </c>
      <c r="AF105" s="150" t="s">
        <v>1351</v>
      </c>
      <c r="AG105" s="150" t="s">
        <v>439</v>
      </c>
      <c r="AH105" s="150" t="s">
        <v>439</v>
      </c>
      <c r="AI105" s="150" t="s">
        <v>439</v>
      </c>
      <c r="AJ105" s="209">
        <v>3</v>
      </c>
      <c r="AK105" s="209">
        <v>3</v>
      </c>
      <c r="AL105" s="150" t="s">
        <v>1351</v>
      </c>
      <c r="AM105" s="209"/>
      <c r="AN105" s="159"/>
      <c r="AO105" s="220" t="s">
        <v>264</v>
      </c>
      <c r="AP105" s="159"/>
      <c r="AQ105" s="159">
        <v>0</v>
      </c>
      <c r="AR105" s="159">
        <v>20</v>
      </c>
      <c r="AS105" s="159">
        <v>0</v>
      </c>
      <c r="AT105" s="221">
        <v>0</v>
      </c>
      <c r="AU105" s="159">
        <v>0</v>
      </c>
      <c r="AV105" s="214">
        <v>0</v>
      </c>
      <c r="AW105" s="159">
        <v>0</v>
      </c>
      <c r="AX105" s="215">
        <v>0</v>
      </c>
      <c r="AY105" s="159"/>
      <c r="AZ105" s="204" t="b">
        <v>0</v>
      </c>
      <c r="BA105" s="150" t="s">
        <v>1533</v>
      </c>
      <c r="BB105" s="351" t="s">
        <v>1715</v>
      </c>
      <c r="BC105" s="351" t="s">
        <v>1081</v>
      </c>
      <c r="BD105" s="352">
        <v>123.9770549</v>
      </c>
      <c r="BE105" s="351" t="s">
        <v>1077</v>
      </c>
      <c r="BF105" s="216" t="s">
        <v>264</v>
      </c>
      <c r="BG105" s="216" t="s">
        <v>264</v>
      </c>
      <c r="BH105" s="216" t="s">
        <v>264</v>
      </c>
      <c r="BI105" s="216" t="s">
        <v>264</v>
      </c>
      <c r="BJ105" s="216" t="s">
        <v>264</v>
      </c>
      <c r="BK105" s="159" t="s">
        <v>1859</v>
      </c>
      <c r="BL105" s="159" t="s">
        <v>1512</v>
      </c>
      <c r="BM105" s="159"/>
      <c r="BN105" s="159"/>
      <c r="BO105" s="137" t="s">
        <v>1860</v>
      </c>
    </row>
    <row r="106" spans="1:73" ht="31.2">
      <c r="A106" s="23" t="b">
        <v>1</v>
      </c>
      <c r="B106" s="57" t="s">
        <v>1335</v>
      </c>
      <c r="C106" s="57"/>
      <c r="D106" s="23" t="b">
        <v>0</v>
      </c>
      <c r="E106" s="23" t="b">
        <v>0</v>
      </c>
      <c r="F106" s="31" t="s">
        <v>1863</v>
      </c>
      <c r="G106" s="18" t="s">
        <v>1864</v>
      </c>
      <c r="I106" s="18" t="s">
        <v>239</v>
      </c>
      <c r="J106" s="47" t="s">
        <v>590</v>
      </c>
      <c r="K106" s="47" t="s">
        <v>591</v>
      </c>
      <c r="L106" s="24" t="s">
        <v>267</v>
      </c>
      <c r="M106" s="24" t="s">
        <v>269</v>
      </c>
      <c r="N106" s="24" t="s">
        <v>267</v>
      </c>
      <c r="O106" s="24" t="s">
        <v>304</v>
      </c>
      <c r="P106" s="24"/>
      <c r="Q106" s="24">
        <v>2020</v>
      </c>
      <c r="R106" s="24" t="s">
        <v>456</v>
      </c>
      <c r="S106" s="24" t="s">
        <v>475</v>
      </c>
      <c r="T106" s="24">
        <v>2025</v>
      </c>
      <c r="U106" s="189">
        <v>9</v>
      </c>
      <c r="V106" s="24" t="str">
        <f t="shared" si="8"/>
        <v>Mature</v>
      </c>
      <c r="W106" s="24" t="s">
        <v>1447</v>
      </c>
      <c r="X106" s="23" t="b">
        <v>0</v>
      </c>
      <c r="AA106" s="24" t="s">
        <v>354</v>
      </c>
      <c r="AB106" s="24" t="s">
        <v>264</v>
      </c>
      <c r="AE106" s="184">
        <v>1</v>
      </c>
      <c r="AF106" s="24" t="s">
        <v>1351</v>
      </c>
      <c r="AG106" s="24" t="s">
        <v>420</v>
      </c>
      <c r="AH106" s="24" t="s">
        <v>420</v>
      </c>
      <c r="AI106" s="24" t="s">
        <v>420</v>
      </c>
      <c r="AJ106" s="184">
        <v>4</v>
      </c>
      <c r="AK106" s="184">
        <v>4</v>
      </c>
      <c r="AL106" s="24" t="s">
        <v>1351</v>
      </c>
      <c r="AO106" s="165" t="s">
        <v>264</v>
      </c>
      <c r="AP106" s="24">
        <v>5</v>
      </c>
      <c r="AQ106" s="24">
        <v>5</v>
      </c>
      <c r="AR106" s="24">
        <v>20</v>
      </c>
      <c r="AS106" s="24">
        <v>0</v>
      </c>
      <c r="AT106" s="171">
        <v>2700</v>
      </c>
      <c r="AU106" s="24">
        <v>0</v>
      </c>
      <c r="AV106" s="111">
        <f t="shared" ref="AV106:AV121" si="12">+AW106/AT106%</f>
        <v>3</v>
      </c>
      <c r="AW106" s="24">
        <v>81</v>
      </c>
      <c r="AX106" s="177">
        <v>0</v>
      </c>
      <c r="AZ106" s="23" t="b">
        <v>0</v>
      </c>
      <c r="BA106" s="24" t="s">
        <v>1533</v>
      </c>
      <c r="BB106" s="349" t="s">
        <v>1865</v>
      </c>
      <c r="BC106" s="349" t="s">
        <v>1081</v>
      </c>
      <c r="BD106" s="350">
        <v>159.90749</v>
      </c>
      <c r="BE106" s="349" t="s">
        <v>1074</v>
      </c>
      <c r="BF106" s="143" t="s">
        <v>264</v>
      </c>
      <c r="BG106" s="143" t="s">
        <v>264</v>
      </c>
      <c r="BH106" s="143" t="s">
        <v>264</v>
      </c>
      <c r="BI106" s="143" t="s">
        <v>264</v>
      </c>
      <c r="BJ106" s="143" t="s">
        <v>264</v>
      </c>
      <c r="BK106" s="18" t="s">
        <v>1859</v>
      </c>
      <c r="BL106" s="18" t="s">
        <v>1459</v>
      </c>
      <c r="BM106" s="95"/>
      <c r="BO106" s="116" t="s">
        <v>1535</v>
      </c>
    </row>
    <row r="107" spans="1:73" ht="31.2">
      <c r="A107" s="23" t="b">
        <v>1</v>
      </c>
      <c r="B107" s="57" t="s">
        <v>1335</v>
      </c>
      <c r="C107" s="57"/>
      <c r="D107" s="23" t="b">
        <v>0</v>
      </c>
      <c r="E107" s="23" t="b">
        <v>0</v>
      </c>
      <c r="F107" s="31" t="s">
        <v>1866</v>
      </c>
      <c r="G107" s="18" t="s">
        <v>1867</v>
      </c>
      <c r="I107" s="18" t="s">
        <v>239</v>
      </c>
      <c r="J107" s="47" t="s">
        <v>590</v>
      </c>
      <c r="K107" s="47" t="s">
        <v>591</v>
      </c>
      <c r="L107" s="24" t="s">
        <v>267</v>
      </c>
      <c r="M107" s="24" t="s">
        <v>269</v>
      </c>
      <c r="N107" s="24" t="s">
        <v>267</v>
      </c>
      <c r="O107" s="24" t="s">
        <v>304</v>
      </c>
      <c r="P107" s="24"/>
      <c r="Q107" s="24">
        <v>2030</v>
      </c>
      <c r="R107" s="24" t="s">
        <v>456</v>
      </c>
      <c r="S107" s="24" t="s">
        <v>475</v>
      </c>
      <c r="T107" s="24">
        <v>2025</v>
      </c>
      <c r="U107" s="189">
        <v>9</v>
      </c>
      <c r="V107" s="24" t="str">
        <f t="shared" si="8"/>
        <v>Mature</v>
      </c>
      <c r="W107" s="24" t="s">
        <v>1447</v>
      </c>
      <c r="X107" s="23" t="b">
        <v>0</v>
      </c>
      <c r="AA107" s="24" t="s">
        <v>354</v>
      </c>
      <c r="AB107" s="24" t="s">
        <v>264</v>
      </c>
      <c r="AE107" s="184">
        <v>1</v>
      </c>
      <c r="AF107" s="24" t="s">
        <v>1351</v>
      </c>
      <c r="AG107" s="24" t="s">
        <v>420</v>
      </c>
      <c r="AH107" s="24" t="s">
        <v>420</v>
      </c>
      <c r="AI107" s="24" t="s">
        <v>420</v>
      </c>
      <c r="AJ107" s="184">
        <v>4</v>
      </c>
      <c r="AK107" s="184">
        <v>4</v>
      </c>
      <c r="AL107" s="24" t="s">
        <v>1351</v>
      </c>
      <c r="AO107" s="165" t="s">
        <v>264</v>
      </c>
      <c r="AP107" s="24">
        <v>5</v>
      </c>
      <c r="AQ107" s="24">
        <v>5</v>
      </c>
      <c r="AR107" s="24">
        <v>20</v>
      </c>
      <c r="AS107" s="24">
        <v>0</v>
      </c>
      <c r="AT107" s="171">
        <v>2700</v>
      </c>
      <c r="AU107" s="24">
        <v>0</v>
      </c>
      <c r="AV107" s="111">
        <f t="shared" si="12"/>
        <v>3</v>
      </c>
      <c r="AW107" s="24">
        <v>81</v>
      </c>
      <c r="AX107" s="177">
        <v>0</v>
      </c>
      <c r="AZ107" s="23" t="b">
        <v>0</v>
      </c>
      <c r="BA107" s="24" t="s">
        <v>1533</v>
      </c>
      <c r="BB107" s="349" t="s">
        <v>1865</v>
      </c>
      <c r="BC107" s="349" t="s">
        <v>1081</v>
      </c>
      <c r="BD107" s="350">
        <v>151.02774550000001</v>
      </c>
      <c r="BE107" s="349" t="s">
        <v>1075</v>
      </c>
      <c r="BF107" s="143" t="s">
        <v>264</v>
      </c>
      <c r="BG107" s="143" t="s">
        <v>264</v>
      </c>
      <c r="BH107" s="143" t="s">
        <v>264</v>
      </c>
      <c r="BI107" s="143" t="s">
        <v>264</v>
      </c>
      <c r="BJ107" s="143" t="s">
        <v>264</v>
      </c>
      <c r="BK107" s="18" t="s">
        <v>1868</v>
      </c>
      <c r="BL107" s="18" t="s">
        <v>1459</v>
      </c>
      <c r="BM107" s="95"/>
      <c r="BO107" s="116" t="s">
        <v>1535</v>
      </c>
    </row>
    <row r="108" spans="1:73" ht="31.2">
      <c r="A108" s="23" t="b">
        <v>1</v>
      </c>
      <c r="B108" s="57" t="s">
        <v>1335</v>
      </c>
      <c r="C108" s="57"/>
      <c r="D108" s="23" t="b">
        <v>0</v>
      </c>
      <c r="E108" s="23" t="b">
        <v>0</v>
      </c>
      <c r="F108" s="31" t="s">
        <v>1869</v>
      </c>
      <c r="G108" s="18" t="s">
        <v>1870</v>
      </c>
      <c r="I108" s="18" t="s">
        <v>239</v>
      </c>
      <c r="J108" s="47" t="s">
        <v>590</v>
      </c>
      <c r="K108" s="47" t="s">
        <v>591</v>
      </c>
      <c r="L108" s="24" t="s">
        <v>267</v>
      </c>
      <c r="M108" s="24" t="s">
        <v>269</v>
      </c>
      <c r="N108" s="24" t="s">
        <v>267</v>
      </c>
      <c r="O108" s="24" t="s">
        <v>304</v>
      </c>
      <c r="P108" s="24"/>
      <c r="Q108" s="24">
        <v>2040</v>
      </c>
      <c r="R108" s="24" t="s">
        <v>456</v>
      </c>
      <c r="S108" s="24" t="s">
        <v>475</v>
      </c>
      <c r="T108" s="24">
        <v>2025</v>
      </c>
      <c r="U108" s="189">
        <v>9</v>
      </c>
      <c r="V108" s="24" t="str">
        <f t="shared" si="8"/>
        <v>Mature</v>
      </c>
      <c r="W108" s="24" t="s">
        <v>1447</v>
      </c>
      <c r="X108" s="23" t="b">
        <v>0</v>
      </c>
      <c r="AA108" s="24" t="s">
        <v>354</v>
      </c>
      <c r="AB108" s="24" t="s">
        <v>264</v>
      </c>
      <c r="AE108" s="184">
        <v>1</v>
      </c>
      <c r="AF108" s="24" t="s">
        <v>1351</v>
      </c>
      <c r="AG108" s="24" t="s">
        <v>420</v>
      </c>
      <c r="AH108" s="24" t="s">
        <v>420</v>
      </c>
      <c r="AI108" s="24" t="s">
        <v>420</v>
      </c>
      <c r="AJ108" s="184">
        <v>4</v>
      </c>
      <c r="AK108" s="184">
        <v>4</v>
      </c>
      <c r="AL108" s="24" t="s">
        <v>1351</v>
      </c>
      <c r="AO108" s="165" t="s">
        <v>264</v>
      </c>
      <c r="AP108" s="24">
        <v>5</v>
      </c>
      <c r="AQ108" s="24">
        <v>5</v>
      </c>
      <c r="AR108" s="24">
        <v>20</v>
      </c>
      <c r="AS108" s="24">
        <v>0</v>
      </c>
      <c r="AT108" s="171">
        <v>2700</v>
      </c>
      <c r="AU108" s="24">
        <v>0</v>
      </c>
      <c r="AV108" s="111">
        <f t="shared" si="12"/>
        <v>3</v>
      </c>
      <c r="AW108" s="24">
        <v>81</v>
      </c>
      <c r="AX108" s="177">
        <v>0</v>
      </c>
      <c r="AZ108" s="23" t="b">
        <v>0</v>
      </c>
      <c r="BA108" s="24" t="s">
        <v>1533</v>
      </c>
      <c r="BB108" s="349" t="s">
        <v>1865</v>
      </c>
      <c r="BC108" s="349" t="s">
        <v>1081</v>
      </c>
      <c r="BD108" s="350">
        <v>135.28005769999999</v>
      </c>
      <c r="BE108" s="349" t="s">
        <v>1076</v>
      </c>
      <c r="BF108" s="143" t="s">
        <v>264</v>
      </c>
      <c r="BG108" s="143" t="s">
        <v>264</v>
      </c>
      <c r="BH108" s="143" t="s">
        <v>264</v>
      </c>
      <c r="BI108" s="143" t="s">
        <v>264</v>
      </c>
      <c r="BJ108" s="143" t="s">
        <v>264</v>
      </c>
      <c r="BK108" s="18" t="s">
        <v>1868</v>
      </c>
      <c r="BL108" s="18" t="s">
        <v>1459</v>
      </c>
      <c r="BM108" s="95"/>
      <c r="BO108" s="116" t="s">
        <v>1535</v>
      </c>
    </row>
    <row r="109" spans="1:73" ht="31.2">
      <c r="A109" s="23" t="b">
        <v>1</v>
      </c>
      <c r="B109" s="57" t="s">
        <v>1335</v>
      </c>
      <c r="C109" s="57"/>
      <c r="D109" s="23" t="b">
        <v>0</v>
      </c>
      <c r="E109" s="23" t="b">
        <v>0</v>
      </c>
      <c r="F109" s="31" t="s">
        <v>1871</v>
      </c>
      <c r="G109" s="18" t="s">
        <v>1872</v>
      </c>
      <c r="I109" s="18" t="s">
        <v>239</v>
      </c>
      <c r="J109" s="47" t="s">
        <v>590</v>
      </c>
      <c r="K109" s="47" t="s">
        <v>591</v>
      </c>
      <c r="L109" s="24" t="s">
        <v>267</v>
      </c>
      <c r="M109" s="24" t="s">
        <v>269</v>
      </c>
      <c r="N109" s="24" t="s">
        <v>267</v>
      </c>
      <c r="O109" s="24" t="s">
        <v>304</v>
      </c>
      <c r="P109" s="24"/>
      <c r="Q109" s="24">
        <v>2050</v>
      </c>
      <c r="R109" s="24" t="s">
        <v>456</v>
      </c>
      <c r="S109" s="24" t="s">
        <v>475</v>
      </c>
      <c r="T109" s="24">
        <v>2025</v>
      </c>
      <c r="U109" s="189">
        <v>9</v>
      </c>
      <c r="V109" s="24" t="str">
        <f t="shared" si="8"/>
        <v>Mature</v>
      </c>
      <c r="W109" s="24" t="s">
        <v>1447</v>
      </c>
      <c r="X109" s="23" t="b">
        <v>0</v>
      </c>
      <c r="AA109" s="24" t="s">
        <v>354</v>
      </c>
      <c r="AB109" s="24" t="s">
        <v>264</v>
      </c>
      <c r="AE109" s="184">
        <v>1</v>
      </c>
      <c r="AF109" s="24" t="s">
        <v>1351</v>
      </c>
      <c r="AG109" s="24" t="s">
        <v>420</v>
      </c>
      <c r="AH109" s="24" t="s">
        <v>420</v>
      </c>
      <c r="AI109" s="24" t="s">
        <v>420</v>
      </c>
      <c r="AJ109" s="184">
        <v>4</v>
      </c>
      <c r="AK109" s="184">
        <v>4</v>
      </c>
      <c r="AL109" s="24" t="s">
        <v>1351</v>
      </c>
      <c r="AO109" s="165" t="s">
        <v>264</v>
      </c>
      <c r="AP109" s="24">
        <v>5</v>
      </c>
      <c r="AQ109" s="24">
        <v>5</v>
      </c>
      <c r="AR109" s="24">
        <v>20</v>
      </c>
      <c r="AS109" s="24">
        <v>0</v>
      </c>
      <c r="AT109" s="171">
        <v>2700</v>
      </c>
      <c r="AU109" s="24">
        <v>0</v>
      </c>
      <c r="AV109" s="111">
        <f t="shared" si="12"/>
        <v>3</v>
      </c>
      <c r="AW109" s="24">
        <v>81</v>
      </c>
      <c r="AX109" s="177">
        <v>0</v>
      </c>
      <c r="AZ109" s="23" t="b">
        <v>0</v>
      </c>
      <c r="BA109" s="24" t="s">
        <v>1533</v>
      </c>
      <c r="BB109" s="349" t="s">
        <v>1865</v>
      </c>
      <c r="BC109" s="349" t="s">
        <v>1081</v>
      </c>
      <c r="BD109" s="350">
        <v>127.02986180000001</v>
      </c>
      <c r="BE109" s="349" t="s">
        <v>1077</v>
      </c>
      <c r="BF109" s="143" t="s">
        <v>264</v>
      </c>
      <c r="BG109" s="143" t="s">
        <v>264</v>
      </c>
      <c r="BH109" s="143" t="s">
        <v>264</v>
      </c>
      <c r="BI109" s="143" t="s">
        <v>264</v>
      </c>
      <c r="BJ109" s="143" t="s">
        <v>264</v>
      </c>
      <c r="BK109" s="18" t="s">
        <v>1859</v>
      </c>
      <c r="BL109" s="18" t="s">
        <v>1459</v>
      </c>
      <c r="BM109" s="95"/>
      <c r="BO109" s="116" t="s">
        <v>1535</v>
      </c>
    </row>
    <row r="110" spans="1:73" ht="46.8">
      <c r="A110" s="23" t="b">
        <v>1</v>
      </c>
      <c r="B110" s="57" t="s">
        <v>1443</v>
      </c>
      <c r="C110" s="57"/>
      <c r="D110" s="23" t="b">
        <v>0</v>
      </c>
      <c r="E110" s="23" t="b">
        <v>0</v>
      </c>
      <c r="F110" s="31" t="s">
        <v>1873</v>
      </c>
      <c r="G110" s="18" t="s">
        <v>1874</v>
      </c>
      <c r="I110" s="18" t="s">
        <v>251</v>
      </c>
      <c r="J110" s="47" t="s">
        <v>583</v>
      </c>
      <c r="K110" s="115" t="s">
        <v>1875</v>
      </c>
      <c r="L110" s="24" t="s">
        <v>241</v>
      </c>
      <c r="M110" s="24"/>
      <c r="N110" s="24"/>
      <c r="O110" s="24" t="s">
        <v>304</v>
      </c>
      <c r="P110" s="24"/>
      <c r="Q110" s="24">
        <v>2020</v>
      </c>
      <c r="R110" s="24" t="s">
        <v>456</v>
      </c>
      <c r="S110" s="24" t="s">
        <v>475</v>
      </c>
      <c r="U110" s="189">
        <v>9</v>
      </c>
      <c r="V110" s="24" t="str">
        <f t="shared" si="8"/>
        <v>Mature</v>
      </c>
      <c r="X110" s="23" t="b">
        <v>0</v>
      </c>
      <c r="Y110" s="158">
        <v>0.85</v>
      </c>
      <c r="AA110" s="24" t="s">
        <v>346</v>
      </c>
      <c r="AB110" s="24" t="s">
        <v>264</v>
      </c>
      <c r="AE110" s="184">
        <v>1</v>
      </c>
      <c r="AF110" s="24" t="s">
        <v>1351</v>
      </c>
      <c r="AG110" s="24" t="s">
        <v>403</v>
      </c>
      <c r="AH110" s="24" t="s">
        <v>403</v>
      </c>
      <c r="AI110" s="18" t="s">
        <v>403</v>
      </c>
      <c r="AJ110" s="184">
        <v>0.85</v>
      </c>
      <c r="AK110" s="184">
        <v>0.85</v>
      </c>
      <c r="AL110" s="18" t="s">
        <v>1351</v>
      </c>
      <c r="AO110" s="194" t="s">
        <v>264</v>
      </c>
      <c r="AP110" s="24">
        <v>0</v>
      </c>
      <c r="AQ110" s="24">
        <v>0</v>
      </c>
      <c r="AR110" s="24">
        <v>80</v>
      </c>
      <c r="AS110" s="24">
        <v>0</v>
      </c>
      <c r="AT110" s="169">
        <v>1890</v>
      </c>
      <c r="AU110" s="24">
        <v>0</v>
      </c>
      <c r="AV110" s="111">
        <f t="shared" si="12"/>
        <v>0.47619047619047622</v>
      </c>
      <c r="AW110" s="24">
        <v>9</v>
      </c>
      <c r="AX110" s="177">
        <v>0</v>
      </c>
      <c r="AZ110" s="23" t="b">
        <v>0</v>
      </c>
      <c r="BA110" s="24" t="s">
        <v>1533</v>
      </c>
      <c r="BB110" s="349" t="s">
        <v>1876</v>
      </c>
      <c r="BC110" s="349" t="s">
        <v>1081</v>
      </c>
      <c r="BD110" s="350">
        <v>1508.5487278999999</v>
      </c>
      <c r="BE110" s="349" t="s">
        <v>1074</v>
      </c>
      <c r="BF110" s="143" t="s">
        <v>264</v>
      </c>
      <c r="BG110" s="143" t="s">
        <v>264</v>
      </c>
      <c r="BH110" s="143" t="s">
        <v>264</v>
      </c>
      <c r="BI110" s="143" t="s">
        <v>264</v>
      </c>
      <c r="BJ110" s="143" t="s">
        <v>264</v>
      </c>
      <c r="BK110" s="18" t="s">
        <v>1877</v>
      </c>
      <c r="BL110" s="18" t="s">
        <v>1459</v>
      </c>
      <c r="BM110" s="105" t="s">
        <v>1878</v>
      </c>
      <c r="BO110" s="115" t="s">
        <v>1629</v>
      </c>
    </row>
    <row r="111" spans="1:73" ht="46.8">
      <c r="A111" s="23" t="b">
        <v>1</v>
      </c>
      <c r="B111" s="57" t="s">
        <v>1443</v>
      </c>
      <c r="C111" s="57"/>
      <c r="D111" s="23" t="b">
        <v>0</v>
      </c>
      <c r="E111" s="23" t="b">
        <v>0</v>
      </c>
      <c r="F111" s="31" t="s">
        <v>1879</v>
      </c>
      <c r="G111" s="18" t="s">
        <v>1880</v>
      </c>
      <c r="I111" s="18" t="s">
        <v>251</v>
      </c>
      <c r="J111" s="47" t="s">
        <v>583</v>
      </c>
      <c r="K111" s="115" t="s">
        <v>1875</v>
      </c>
      <c r="L111" s="24" t="s">
        <v>241</v>
      </c>
      <c r="M111" s="24"/>
      <c r="N111" s="24"/>
      <c r="O111" s="24" t="s">
        <v>304</v>
      </c>
      <c r="P111" s="24"/>
      <c r="Q111" s="24">
        <v>2050</v>
      </c>
      <c r="R111" s="24" t="s">
        <v>456</v>
      </c>
      <c r="S111" s="24" t="s">
        <v>475</v>
      </c>
      <c r="U111" s="189">
        <v>9</v>
      </c>
      <c r="V111" s="24" t="str">
        <f t="shared" si="8"/>
        <v>Mature</v>
      </c>
      <c r="X111" s="23" t="b">
        <v>0</v>
      </c>
      <c r="Y111" s="158">
        <v>0.85</v>
      </c>
      <c r="AA111" s="24" t="s">
        <v>346</v>
      </c>
      <c r="AB111" s="24" t="s">
        <v>264</v>
      </c>
      <c r="AE111" s="184">
        <v>1</v>
      </c>
      <c r="AF111" s="24" t="s">
        <v>1351</v>
      </c>
      <c r="AG111" s="24" t="s">
        <v>403</v>
      </c>
      <c r="AH111" s="24" t="s">
        <v>403</v>
      </c>
      <c r="AI111" s="18" t="s">
        <v>403</v>
      </c>
      <c r="AJ111" s="184">
        <v>0.85</v>
      </c>
      <c r="AK111" s="184">
        <v>0.85</v>
      </c>
      <c r="AL111" s="18" t="s">
        <v>1351</v>
      </c>
      <c r="AO111" s="194" t="s">
        <v>264</v>
      </c>
      <c r="AP111" s="24">
        <v>0</v>
      </c>
      <c r="AQ111" s="24">
        <v>0</v>
      </c>
      <c r="AR111" s="24">
        <v>80</v>
      </c>
      <c r="AS111" s="24">
        <v>0</v>
      </c>
      <c r="AT111" s="169">
        <v>1890</v>
      </c>
      <c r="AU111" s="24">
        <v>0</v>
      </c>
      <c r="AV111" s="111">
        <f t="shared" si="12"/>
        <v>0.47619047619047622</v>
      </c>
      <c r="AW111" s="24">
        <v>9</v>
      </c>
      <c r="AX111" s="177">
        <v>0</v>
      </c>
      <c r="AZ111" s="23" t="b">
        <v>0</v>
      </c>
      <c r="BA111" s="24" t="s">
        <v>1533</v>
      </c>
      <c r="BB111" s="349" t="s">
        <v>1876</v>
      </c>
      <c r="BC111" s="349" t="s">
        <v>1081</v>
      </c>
      <c r="BD111" s="350">
        <v>1384.2379128</v>
      </c>
      <c r="BE111" s="349" t="s">
        <v>1075</v>
      </c>
      <c r="BF111" s="143" t="s">
        <v>264</v>
      </c>
      <c r="BG111" s="143" t="s">
        <v>264</v>
      </c>
      <c r="BH111" s="143" t="s">
        <v>264</v>
      </c>
      <c r="BI111" s="143" t="s">
        <v>264</v>
      </c>
      <c r="BJ111" s="143" t="s">
        <v>264</v>
      </c>
      <c r="BK111" s="18" t="s">
        <v>1881</v>
      </c>
      <c r="BL111" s="18" t="s">
        <v>1459</v>
      </c>
      <c r="BM111" s="105" t="s">
        <v>1878</v>
      </c>
      <c r="BO111" s="115" t="s">
        <v>1629</v>
      </c>
      <c r="BS111" s="18">
        <v>765</v>
      </c>
      <c r="BU111" s="18">
        <v>1.9</v>
      </c>
    </row>
    <row r="112" spans="1:73" s="159" customFormat="1" ht="46.8">
      <c r="A112" s="23" t="b">
        <v>1</v>
      </c>
      <c r="B112" s="57" t="s">
        <v>1443</v>
      </c>
      <c r="C112" s="57"/>
      <c r="D112" s="23" t="b">
        <v>0</v>
      </c>
      <c r="E112" s="23" t="b">
        <v>0</v>
      </c>
      <c r="F112" s="31" t="s">
        <v>1882</v>
      </c>
      <c r="G112" s="18" t="s">
        <v>1883</v>
      </c>
      <c r="H112" s="31"/>
      <c r="I112" s="18" t="s">
        <v>251</v>
      </c>
      <c r="J112" s="47" t="s">
        <v>583</v>
      </c>
      <c r="K112" s="115" t="s">
        <v>1875</v>
      </c>
      <c r="L112" s="24" t="s">
        <v>241</v>
      </c>
      <c r="M112" s="24"/>
      <c r="N112" s="24"/>
      <c r="O112" s="24" t="s">
        <v>304</v>
      </c>
      <c r="P112" s="24"/>
      <c r="Q112" s="24">
        <v>2050</v>
      </c>
      <c r="R112" s="24" t="s">
        <v>456</v>
      </c>
      <c r="S112" s="24" t="s">
        <v>475</v>
      </c>
      <c r="T112" s="24"/>
      <c r="U112" s="189">
        <v>9</v>
      </c>
      <c r="V112" s="24" t="str">
        <f t="shared" si="8"/>
        <v>Mature</v>
      </c>
      <c r="W112" s="24"/>
      <c r="X112" s="23" t="b">
        <v>0</v>
      </c>
      <c r="Y112" s="158">
        <v>0.85</v>
      </c>
      <c r="Z112" s="24"/>
      <c r="AA112" s="24" t="s">
        <v>346</v>
      </c>
      <c r="AB112" s="24" t="s">
        <v>264</v>
      </c>
      <c r="AC112" s="184"/>
      <c r="AD112" s="24"/>
      <c r="AE112" s="184">
        <v>1</v>
      </c>
      <c r="AF112" s="24" t="s">
        <v>1351</v>
      </c>
      <c r="AG112" s="24" t="s">
        <v>403</v>
      </c>
      <c r="AH112" s="24" t="s">
        <v>403</v>
      </c>
      <c r="AI112" s="18" t="s">
        <v>403</v>
      </c>
      <c r="AJ112" s="184">
        <v>0.85</v>
      </c>
      <c r="AK112" s="184">
        <v>0.85</v>
      </c>
      <c r="AL112" s="18" t="s">
        <v>1351</v>
      </c>
      <c r="AM112" s="184"/>
      <c r="AN112" s="18"/>
      <c r="AO112" s="194" t="s">
        <v>264</v>
      </c>
      <c r="AP112" s="24">
        <v>0</v>
      </c>
      <c r="AQ112" s="24">
        <v>0</v>
      </c>
      <c r="AR112" s="24">
        <v>80</v>
      </c>
      <c r="AS112" s="24">
        <v>0</v>
      </c>
      <c r="AT112" s="169">
        <v>1890</v>
      </c>
      <c r="AU112" s="24">
        <v>0</v>
      </c>
      <c r="AV112" s="111">
        <f t="shared" si="12"/>
        <v>0.47619047619047622</v>
      </c>
      <c r="AW112" s="24">
        <v>9</v>
      </c>
      <c r="AX112" s="177">
        <v>0</v>
      </c>
      <c r="AY112" s="18"/>
      <c r="AZ112" s="23" t="b">
        <v>0</v>
      </c>
      <c r="BA112" s="24" t="s">
        <v>1533</v>
      </c>
      <c r="BB112" s="349" t="s">
        <v>1876</v>
      </c>
      <c r="BC112" s="349" t="s">
        <v>1081</v>
      </c>
      <c r="BD112" s="350">
        <v>1096.8146448</v>
      </c>
      <c r="BE112" s="349" t="s">
        <v>1076</v>
      </c>
      <c r="BF112" s="143" t="s">
        <v>264</v>
      </c>
      <c r="BG112" s="143" t="s">
        <v>264</v>
      </c>
      <c r="BH112" s="143" t="s">
        <v>264</v>
      </c>
      <c r="BI112" s="143" t="s">
        <v>264</v>
      </c>
      <c r="BJ112" s="143" t="s">
        <v>264</v>
      </c>
      <c r="BK112" s="18" t="s">
        <v>1881</v>
      </c>
      <c r="BL112" s="18" t="s">
        <v>1459</v>
      </c>
      <c r="BM112" s="105" t="s">
        <v>1878</v>
      </c>
      <c r="BN112" s="18"/>
      <c r="BO112" s="115" t="s">
        <v>1629</v>
      </c>
    </row>
    <row r="113" spans="1:88" s="159" customFormat="1" ht="46.8">
      <c r="A113" s="23" t="b">
        <v>1</v>
      </c>
      <c r="B113" s="57" t="s">
        <v>1443</v>
      </c>
      <c r="C113" s="57"/>
      <c r="D113" s="23" t="b">
        <v>0</v>
      </c>
      <c r="E113" s="23" t="b">
        <v>0</v>
      </c>
      <c r="F113" s="31" t="s">
        <v>1884</v>
      </c>
      <c r="G113" s="18" t="s">
        <v>1885</v>
      </c>
      <c r="H113" s="31"/>
      <c r="I113" s="18" t="s">
        <v>251</v>
      </c>
      <c r="J113" s="47" t="s">
        <v>583</v>
      </c>
      <c r="K113" s="115" t="s">
        <v>1875</v>
      </c>
      <c r="L113" s="24" t="s">
        <v>241</v>
      </c>
      <c r="M113" s="24"/>
      <c r="N113" s="24"/>
      <c r="O113" s="24" t="s">
        <v>304</v>
      </c>
      <c r="P113" s="24"/>
      <c r="Q113" s="24">
        <v>2050</v>
      </c>
      <c r="R113" s="24" t="s">
        <v>456</v>
      </c>
      <c r="S113" s="24" t="s">
        <v>475</v>
      </c>
      <c r="T113" s="24"/>
      <c r="U113" s="189">
        <v>9</v>
      </c>
      <c r="V113" s="24" t="str">
        <f t="shared" si="8"/>
        <v>Mature</v>
      </c>
      <c r="W113" s="24"/>
      <c r="X113" s="23" t="b">
        <v>0</v>
      </c>
      <c r="Y113" s="158">
        <v>0.85</v>
      </c>
      <c r="Z113" s="24"/>
      <c r="AA113" s="24" t="s">
        <v>346</v>
      </c>
      <c r="AB113" s="24" t="s">
        <v>264</v>
      </c>
      <c r="AC113" s="184"/>
      <c r="AD113" s="24"/>
      <c r="AE113" s="184">
        <v>1</v>
      </c>
      <c r="AF113" s="24" t="s">
        <v>1351</v>
      </c>
      <c r="AG113" s="24" t="s">
        <v>403</v>
      </c>
      <c r="AH113" s="24" t="s">
        <v>403</v>
      </c>
      <c r="AI113" s="18" t="s">
        <v>403</v>
      </c>
      <c r="AJ113" s="184">
        <v>0.85</v>
      </c>
      <c r="AK113" s="184">
        <v>0.85</v>
      </c>
      <c r="AL113" s="18" t="s">
        <v>1351</v>
      </c>
      <c r="AM113" s="184"/>
      <c r="AN113" s="18"/>
      <c r="AO113" s="194" t="s">
        <v>264</v>
      </c>
      <c r="AP113" s="24">
        <v>0</v>
      </c>
      <c r="AQ113" s="24">
        <v>0</v>
      </c>
      <c r="AR113" s="24">
        <v>80</v>
      </c>
      <c r="AS113" s="24">
        <v>0</v>
      </c>
      <c r="AT113" s="169">
        <v>1890</v>
      </c>
      <c r="AU113" s="24">
        <v>0</v>
      </c>
      <c r="AV113" s="111">
        <f t="shared" si="12"/>
        <v>0.47619047619047622</v>
      </c>
      <c r="AW113" s="24">
        <v>9</v>
      </c>
      <c r="AX113" s="177">
        <v>0</v>
      </c>
      <c r="AY113" s="18"/>
      <c r="AZ113" s="23" t="b">
        <v>0</v>
      </c>
      <c r="BA113" s="24" t="s">
        <v>1533</v>
      </c>
      <c r="BB113" s="349" t="s">
        <v>1876</v>
      </c>
      <c r="BC113" s="349" t="s">
        <v>1081</v>
      </c>
      <c r="BD113" s="350">
        <v>714.38198409999995</v>
      </c>
      <c r="BE113" s="349" t="s">
        <v>1077</v>
      </c>
      <c r="BF113" s="143" t="s">
        <v>264</v>
      </c>
      <c r="BG113" s="143" t="s">
        <v>264</v>
      </c>
      <c r="BH113" s="143" t="s">
        <v>264</v>
      </c>
      <c r="BI113" s="143" t="s">
        <v>264</v>
      </c>
      <c r="BJ113" s="143" t="s">
        <v>264</v>
      </c>
      <c r="BK113" s="18" t="s">
        <v>1877</v>
      </c>
      <c r="BL113" s="18" t="s">
        <v>1459</v>
      </c>
      <c r="BM113" s="105" t="s">
        <v>1878</v>
      </c>
      <c r="BN113" s="18"/>
      <c r="BO113" s="115" t="s">
        <v>1629</v>
      </c>
    </row>
    <row r="114" spans="1:88" s="159" customFormat="1" ht="135.6">
      <c r="A114" s="23" t="b">
        <v>1</v>
      </c>
      <c r="B114" s="57" t="s">
        <v>1443</v>
      </c>
      <c r="C114" s="57"/>
      <c r="D114" s="23" t="b">
        <v>0</v>
      </c>
      <c r="E114" s="23" t="b">
        <v>0</v>
      </c>
      <c r="F114" s="31" t="s">
        <v>1886</v>
      </c>
      <c r="G114" s="18" t="s">
        <v>1887</v>
      </c>
      <c r="H114" s="31"/>
      <c r="I114" s="18" t="s">
        <v>251</v>
      </c>
      <c r="J114" s="47" t="s">
        <v>581</v>
      </c>
      <c r="K114" s="115" t="s">
        <v>1875</v>
      </c>
      <c r="L114" s="24" t="s">
        <v>241</v>
      </c>
      <c r="M114" s="24"/>
      <c r="N114" s="24"/>
      <c r="O114" s="24" t="s">
        <v>304</v>
      </c>
      <c r="P114" s="24"/>
      <c r="Q114" s="24">
        <v>2020</v>
      </c>
      <c r="R114" s="24" t="s">
        <v>456</v>
      </c>
      <c r="S114" s="24" t="s">
        <v>475</v>
      </c>
      <c r="T114" s="24"/>
      <c r="U114" s="189">
        <v>9</v>
      </c>
      <c r="V114" s="24" t="str">
        <f t="shared" si="8"/>
        <v>Mature</v>
      </c>
      <c r="W114" s="24"/>
      <c r="X114" s="23" t="b">
        <v>0</v>
      </c>
      <c r="Y114" s="158">
        <v>0.85</v>
      </c>
      <c r="Z114" s="24"/>
      <c r="AA114" s="24" t="s">
        <v>403</v>
      </c>
      <c r="AB114" s="24" t="s">
        <v>264</v>
      </c>
      <c r="AC114" s="184"/>
      <c r="AD114" s="24"/>
      <c r="AE114" s="184">
        <v>1</v>
      </c>
      <c r="AF114" s="24" t="s">
        <v>1351</v>
      </c>
      <c r="AG114" s="24" t="s">
        <v>346</v>
      </c>
      <c r="AH114" s="24" t="s">
        <v>346</v>
      </c>
      <c r="AI114" s="24" t="s">
        <v>346</v>
      </c>
      <c r="AJ114" s="184">
        <v>0.85</v>
      </c>
      <c r="AK114" s="184">
        <v>0.85</v>
      </c>
      <c r="AL114" s="18" t="s">
        <v>1351</v>
      </c>
      <c r="AM114" s="184"/>
      <c r="AN114" s="18"/>
      <c r="AO114" s="194" t="s">
        <v>264</v>
      </c>
      <c r="AP114" s="24">
        <v>0</v>
      </c>
      <c r="AQ114" s="24">
        <v>0</v>
      </c>
      <c r="AR114" s="24">
        <v>80</v>
      </c>
      <c r="AS114" s="24">
        <v>0</v>
      </c>
      <c r="AT114" s="169">
        <v>3640</v>
      </c>
      <c r="AU114" s="24">
        <v>0</v>
      </c>
      <c r="AV114" s="111">
        <f t="shared" si="12"/>
        <v>0.24725274725274726</v>
      </c>
      <c r="AW114" s="24">
        <v>9</v>
      </c>
      <c r="AX114" s="177">
        <v>0</v>
      </c>
      <c r="AY114" s="18"/>
      <c r="AZ114" s="23" t="b">
        <v>0</v>
      </c>
      <c r="BA114" s="24" t="s">
        <v>1533</v>
      </c>
      <c r="BB114" s="349" t="s">
        <v>1876</v>
      </c>
      <c r="BC114" s="349" t="s">
        <v>1081</v>
      </c>
      <c r="BD114" s="350">
        <v>1508.5487278999999</v>
      </c>
      <c r="BE114" s="349" t="s">
        <v>1074</v>
      </c>
      <c r="BF114" s="143" t="s">
        <v>264</v>
      </c>
      <c r="BG114" s="143" t="s">
        <v>264</v>
      </c>
      <c r="BH114" s="143" t="s">
        <v>264</v>
      </c>
      <c r="BI114" s="143" t="s">
        <v>264</v>
      </c>
      <c r="BJ114" s="143" t="s">
        <v>264</v>
      </c>
      <c r="BK114" s="18" t="s">
        <v>1877</v>
      </c>
      <c r="BL114" s="18" t="s">
        <v>1459</v>
      </c>
      <c r="BM114" s="105" t="s">
        <v>1888</v>
      </c>
      <c r="BN114" s="146" t="s">
        <v>1889</v>
      </c>
      <c r="BO114" s="115" t="s">
        <v>1629</v>
      </c>
    </row>
    <row r="115" spans="1:88" s="159" customFormat="1" ht="135.6">
      <c r="A115" s="23" t="b">
        <v>1</v>
      </c>
      <c r="B115" s="57" t="s">
        <v>1443</v>
      </c>
      <c r="C115" s="57"/>
      <c r="D115" s="23" t="b">
        <v>0</v>
      </c>
      <c r="E115" s="23" t="b">
        <v>0</v>
      </c>
      <c r="F115" s="31" t="s">
        <v>1890</v>
      </c>
      <c r="G115" s="18" t="s">
        <v>1891</v>
      </c>
      <c r="H115" s="31"/>
      <c r="I115" s="18" t="s">
        <v>251</v>
      </c>
      <c r="J115" s="47" t="s">
        <v>581</v>
      </c>
      <c r="K115" s="115" t="s">
        <v>1875</v>
      </c>
      <c r="L115" s="24" t="s">
        <v>241</v>
      </c>
      <c r="M115" s="24"/>
      <c r="N115" s="24"/>
      <c r="O115" s="24" t="s">
        <v>304</v>
      </c>
      <c r="P115" s="24"/>
      <c r="Q115" s="24">
        <v>2030</v>
      </c>
      <c r="R115" s="24" t="s">
        <v>456</v>
      </c>
      <c r="S115" s="24" t="s">
        <v>475</v>
      </c>
      <c r="T115" s="24"/>
      <c r="U115" s="189">
        <v>9</v>
      </c>
      <c r="V115" s="24" t="str">
        <f t="shared" si="8"/>
        <v>Mature</v>
      </c>
      <c r="W115" s="24"/>
      <c r="X115" s="23" t="b">
        <v>0</v>
      </c>
      <c r="Y115" s="158">
        <v>0.85</v>
      </c>
      <c r="Z115" s="24"/>
      <c r="AA115" s="24" t="s">
        <v>403</v>
      </c>
      <c r="AB115" s="24" t="s">
        <v>264</v>
      </c>
      <c r="AC115" s="184"/>
      <c r="AD115" s="24"/>
      <c r="AE115" s="184">
        <v>1</v>
      </c>
      <c r="AF115" s="24" t="s">
        <v>1351</v>
      </c>
      <c r="AG115" s="24" t="s">
        <v>346</v>
      </c>
      <c r="AH115" s="24" t="s">
        <v>346</v>
      </c>
      <c r="AI115" s="24" t="s">
        <v>346</v>
      </c>
      <c r="AJ115" s="184">
        <v>0.85</v>
      </c>
      <c r="AK115" s="184">
        <v>0.85</v>
      </c>
      <c r="AL115" s="18" t="s">
        <v>1351</v>
      </c>
      <c r="AM115" s="184"/>
      <c r="AN115" s="18"/>
      <c r="AO115" s="194" t="s">
        <v>264</v>
      </c>
      <c r="AP115" s="24">
        <v>0</v>
      </c>
      <c r="AQ115" s="24">
        <v>0</v>
      </c>
      <c r="AR115" s="24">
        <v>80</v>
      </c>
      <c r="AS115" s="24">
        <v>0</v>
      </c>
      <c r="AT115" s="169">
        <v>3640</v>
      </c>
      <c r="AU115" s="24">
        <v>0</v>
      </c>
      <c r="AV115" s="111">
        <f t="shared" si="12"/>
        <v>0.24725274725274726</v>
      </c>
      <c r="AW115" s="24">
        <v>9</v>
      </c>
      <c r="AX115" s="177">
        <v>0</v>
      </c>
      <c r="AY115" s="18"/>
      <c r="AZ115" s="23" t="b">
        <v>0</v>
      </c>
      <c r="BA115" s="24" t="s">
        <v>1533</v>
      </c>
      <c r="BB115" s="349" t="s">
        <v>1876</v>
      </c>
      <c r="BC115" s="349" t="s">
        <v>1081</v>
      </c>
      <c r="BD115" s="350">
        <v>1384.2379128</v>
      </c>
      <c r="BE115" s="349" t="s">
        <v>1075</v>
      </c>
      <c r="BF115" s="143" t="s">
        <v>264</v>
      </c>
      <c r="BG115" s="143" t="s">
        <v>264</v>
      </c>
      <c r="BH115" s="143" t="s">
        <v>264</v>
      </c>
      <c r="BI115" s="143" t="s">
        <v>264</v>
      </c>
      <c r="BJ115" s="143" t="s">
        <v>264</v>
      </c>
      <c r="BK115" s="18" t="s">
        <v>1881</v>
      </c>
      <c r="BL115" s="18" t="s">
        <v>1459</v>
      </c>
      <c r="BM115" s="105" t="s">
        <v>1888</v>
      </c>
      <c r="BN115" s="146" t="s">
        <v>1889</v>
      </c>
      <c r="BO115" s="115" t="s">
        <v>1629</v>
      </c>
    </row>
    <row r="116" spans="1:88" s="159" customFormat="1" ht="135.6">
      <c r="A116" s="23" t="b">
        <v>1</v>
      </c>
      <c r="B116" s="57" t="s">
        <v>1443</v>
      </c>
      <c r="C116" s="57"/>
      <c r="D116" s="23" t="b">
        <v>0</v>
      </c>
      <c r="E116" s="23" t="b">
        <v>0</v>
      </c>
      <c r="F116" s="31" t="s">
        <v>1892</v>
      </c>
      <c r="G116" s="18" t="s">
        <v>1893</v>
      </c>
      <c r="H116" s="31"/>
      <c r="I116" s="18" t="s">
        <v>251</v>
      </c>
      <c r="J116" s="47" t="s">
        <v>581</v>
      </c>
      <c r="K116" s="115" t="s">
        <v>1875</v>
      </c>
      <c r="L116" s="24" t="s">
        <v>241</v>
      </c>
      <c r="M116" s="24"/>
      <c r="N116" s="24"/>
      <c r="O116" s="24" t="s">
        <v>304</v>
      </c>
      <c r="P116" s="24"/>
      <c r="Q116" s="24">
        <v>2040</v>
      </c>
      <c r="R116" s="24" t="s">
        <v>456</v>
      </c>
      <c r="S116" s="24" t="s">
        <v>475</v>
      </c>
      <c r="T116" s="24"/>
      <c r="U116" s="189">
        <v>9</v>
      </c>
      <c r="V116" s="24" t="str">
        <f t="shared" si="8"/>
        <v>Mature</v>
      </c>
      <c r="W116" s="24"/>
      <c r="X116" s="23" t="b">
        <v>0</v>
      </c>
      <c r="Y116" s="158">
        <v>0.85</v>
      </c>
      <c r="Z116" s="24"/>
      <c r="AA116" s="24" t="s">
        <v>403</v>
      </c>
      <c r="AB116" s="24" t="s">
        <v>264</v>
      </c>
      <c r="AC116" s="184"/>
      <c r="AD116" s="24"/>
      <c r="AE116" s="184">
        <v>1</v>
      </c>
      <c r="AF116" s="24" t="s">
        <v>1351</v>
      </c>
      <c r="AG116" s="24" t="s">
        <v>346</v>
      </c>
      <c r="AH116" s="24" t="s">
        <v>346</v>
      </c>
      <c r="AI116" s="24" t="s">
        <v>346</v>
      </c>
      <c r="AJ116" s="184">
        <v>0.85</v>
      </c>
      <c r="AK116" s="184">
        <v>0.85</v>
      </c>
      <c r="AL116" s="18" t="s">
        <v>1351</v>
      </c>
      <c r="AM116" s="184"/>
      <c r="AN116" s="18"/>
      <c r="AO116" s="194" t="s">
        <v>264</v>
      </c>
      <c r="AP116" s="24">
        <v>0</v>
      </c>
      <c r="AQ116" s="24">
        <v>0</v>
      </c>
      <c r="AR116" s="24">
        <v>80</v>
      </c>
      <c r="AS116" s="24">
        <v>0</v>
      </c>
      <c r="AT116" s="169">
        <v>3640</v>
      </c>
      <c r="AU116" s="24">
        <v>0</v>
      </c>
      <c r="AV116" s="111">
        <f t="shared" si="12"/>
        <v>0.24725274725274726</v>
      </c>
      <c r="AW116" s="24">
        <v>9</v>
      </c>
      <c r="AX116" s="177">
        <v>0</v>
      </c>
      <c r="AY116" s="18"/>
      <c r="AZ116" s="23" t="b">
        <v>0</v>
      </c>
      <c r="BA116" s="24" t="s">
        <v>1533</v>
      </c>
      <c r="BB116" s="349" t="s">
        <v>1876</v>
      </c>
      <c r="BC116" s="349" t="s">
        <v>1081</v>
      </c>
      <c r="BD116" s="350">
        <v>1096.8146448</v>
      </c>
      <c r="BE116" s="349" t="s">
        <v>1076</v>
      </c>
      <c r="BF116" s="143" t="s">
        <v>264</v>
      </c>
      <c r="BG116" s="143" t="s">
        <v>264</v>
      </c>
      <c r="BH116" s="143" t="s">
        <v>264</v>
      </c>
      <c r="BI116" s="143" t="s">
        <v>264</v>
      </c>
      <c r="BJ116" s="143" t="s">
        <v>264</v>
      </c>
      <c r="BK116" s="18" t="s">
        <v>1881</v>
      </c>
      <c r="BL116" s="18" t="s">
        <v>1459</v>
      </c>
      <c r="BM116" s="105" t="s">
        <v>1888</v>
      </c>
      <c r="BN116" s="146" t="s">
        <v>1889</v>
      </c>
      <c r="BO116" s="115" t="s">
        <v>1629</v>
      </c>
    </row>
    <row r="117" spans="1:88" s="159" customFormat="1" ht="135.6">
      <c r="A117" s="23" t="b">
        <v>1</v>
      </c>
      <c r="B117" s="57" t="s">
        <v>1443</v>
      </c>
      <c r="C117" s="57"/>
      <c r="D117" s="23" t="b">
        <v>0</v>
      </c>
      <c r="E117" s="23" t="b">
        <v>0</v>
      </c>
      <c r="F117" s="31" t="s">
        <v>1894</v>
      </c>
      <c r="G117" s="18" t="s">
        <v>1895</v>
      </c>
      <c r="H117" s="31"/>
      <c r="I117" s="18" t="s">
        <v>251</v>
      </c>
      <c r="J117" s="47" t="s">
        <v>581</v>
      </c>
      <c r="K117" s="115" t="s">
        <v>1875</v>
      </c>
      <c r="L117" s="24" t="s">
        <v>241</v>
      </c>
      <c r="M117" s="24"/>
      <c r="N117" s="24"/>
      <c r="O117" s="24" t="s">
        <v>304</v>
      </c>
      <c r="P117" s="24"/>
      <c r="Q117" s="24">
        <v>2050</v>
      </c>
      <c r="R117" s="24" t="s">
        <v>456</v>
      </c>
      <c r="S117" s="24" t="s">
        <v>475</v>
      </c>
      <c r="T117" s="24"/>
      <c r="U117" s="189">
        <v>9</v>
      </c>
      <c r="V117" s="24" t="str">
        <f t="shared" si="8"/>
        <v>Mature</v>
      </c>
      <c r="W117" s="24"/>
      <c r="X117" s="23" t="b">
        <v>0</v>
      </c>
      <c r="Y117" s="158">
        <v>0.85</v>
      </c>
      <c r="Z117" s="24"/>
      <c r="AA117" s="24" t="s">
        <v>403</v>
      </c>
      <c r="AB117" s="24" t="s">
        <v>264</v>
      </c>
      <c r="AC117" s="184"/>
      <c r="AD117" s="24"/>
      <c r="AE117" s="184">
        <v>1</v>
      </c>
      <c r="AF117" s="24" t="s">
        <v>1351</v>
      </c>
      <c r="AG117" s="24" t="s">
        <v>346</v>
      </c>
      <c r="AH117" s="24" t="s">
        <v>346</v>
      </c>
      <c r="AI117" s="24" t="s">
        <v>346</v>
      </c>
      <c r="AJ117" s="184">
        <v>0.85</v>
      </c>
      <c r="AK117" s="184">
        <v>0.85</v>
      </c>
      <c r="AL117" s="18" t="s">
        <v>1351</v>
      </c>
      <c r="AM117" s="184"/>
      <c r="AN117" s="18"/>
      <c r="AO117" s="194" t="s">
        <v>264</v>
      </c>
      <c r="AP117" s="24">
        <v>0</v>
      </c>
      <c r="AQ117" s="24">
        <v>0</v>
      </c>
      <c r="AR117" s="24">
        <v>80</v>
      </c>
      <c r="AS117" s="24">
        <v>0</v>
      </c>
      <c r="AT117" s="169">
        <v>3640</v>
      </c>
      <c r="AU117" s="24">
        <v>0</v>
      </c>
      <c r="AV117" s="111">
        <f t="shared" si="12"/>
        <v>0.24725274725274726</v>
      </c>
      <c r="AW117" s="24">
        <v>9</v>
      </c>
      <c r="AX117" s="177">
        <v>0</v>
      </c>
      <c r="AY117" s="18"/>
      <c r="AZ117" s="23" t="b">
        <v>0</v>
      </c>
      <c r="BA117" s="24" t="s">
        <v>1533</v>
      </c>
      <c r="BB117" s="349" t="s">
        <v>1876</v>
      </c>
      <c r="BC117" s="349" t="s">
        <v>1081</v>
      </c>
      <c r="BD117" s="350">
        <v>714.38198409999995</v>
      </c>
      <c r="BE117" s="349" t="s">
        <v>1077</v>
      </c>
      <c r="BF117" s="143" t="s">
        <v>264</v>
      </c>
      <c r="BG117" s="143" t="s">
        <v>264</v>
      </c>
      <c r="BH117" s="143" t="s">
        <v>264</v>
      </c>
      <c r="BI117" s="143" t="s">
        <v>264</v>
      </c>
      <c r="BJ117" s="143" t="s">
        <v>264</v>
      </c>
      <c r="BK117" s="18" t="s">
        <v>1877</v>
      </c>
      <c r="BL117" s="18" t="s">
        <v>1459</v>
      </c>
      <c r="BM117" s="105" t="s">
        <v>1888</v>
      </c>
      <c r="BN117" s="146" t="s">
        <v>1889</v>
      </c>
      <c r="BO117" s="115" t="s">
        <v>1629</v>
      </c>
    </row>
    <row r="118" spans="1:88" s="123" customFormat="1" ht="109.2">
      <c r="A118" s="23" t="b">
        <v>1</v>
      </c>
      <c r="B118" s="57" t="s">
        <v>1443</v>
      </c>
      <c r="C118" s="57"/>
      <c r="D118" s="23" t="b">
        <v>0</v>
      </c>
      <c r="E118" s="23" t="b">
        <v>0</v>
      </c>
      <c r="F118" s="31" t="s">
        <v>1896</v>
      </c>
      <c r="G118" s="18" t="s">
        <v>1897</v>
      </c>
      <c r="H118" s="31"/>
      <c r="I118" s="18" t="s">
        <v>241</v>
      </c>
      <c r="J118" s="47" t="s">
        <v>573</v>
      </c>
      <c r="K118" s="115" t="s">
        <v>1875</v>
      </c>
      <c r="L118" s="24" t="s">
        <v>241</v>
      </c>
      <c r="M118" s="24"/>
      <c r="N118" s="24"/>
      <c r="O118" s="24" t="s">
        <v>304</v>
      </c>
      <c r="P118" s="24"/>
      <c r="Q118" s="24">
        <v>2020</v>
      </c>
      <c r="R118" s="24" t="s">
        <v>456</v>
      </c>
      <c r="S118" s="24" t="s">
        <v>475</v>
      </c>
      <c r="T118" s="24"/>
      <c r="U118" s="189">
        <v>9</v>
      </c>
      <c r="V118" s="24" t="str">
        <f t="shared" si="8"/>
        <v>Mature</v>
      </c>
      <c r="W118" s="24"/>
      <c r="X118" s="23" t="b">
        <v>0</v>
      </c>
      <c r="Y118" s="158">
        <v>0.85</v>
      </c>
      <c r="Z118" s="24"/>
      <c r="AA118" s="24" t="s">
        <v>405</v>
      </c>
      <c r="AB118" s="24" t="s">
        <v>264</v>
      </c>
      <c r="AC118" s="184"/>
      <c r="AD118" s="24"/>
      <c r="AE118" s="184">
        <v>1</v>
      </c>
      <c r="AF118" s="24" t="s">
        <v>1351</v>
      </c>
      <c r="AG118" s="24" t="s">
        <v>346</v>
      </c>
      <c r="AH118" s="24" t="s">
        <v>346</v>
      </c>
      <c r="AI118" s="24" t="s">
        <v>346</v>
      </c>
      <c r="AJ118" s="184">
        <v>0.85</v>
      </c>
      <c r="AK118" s="184">
        <v>0.85</v>
      </c>
      <c r="AL118" s="18" t="s">
        <v>1351</v>
      </c>
      <c r="AM118" s="184"/>
      <c r="AN118" s="18"/>
      <c r="AO118" s="194" t="s">
        <v>264</v>
      </c>
      <c r="AP118" s="24">
        <v>0</v>
      </c>
      <c r="AQ118" s="24">
        <v>0</v>
      </c>
      <c r="AR118" s="24">
        <v>80</v>
      </c>
      <c r="AS118" s="24">
        <v>0</v>
      </c>
      <c r="AT118" s="169">
        <v>3200</v>
      </c>
      <c r="AU118" s="24">
        <v>0</v>
      </c>
      <c r="AV118" s="111">
        <f t="shared" si="12"/>
        <v>2</v>
      </c>
      <c r="AW118" s="24">
        <v>64</v>
      </c>
      <c r="AX118" s="177">
        <v>0</v>
      </c>
      <c r="AY118" s="18"/>
      <c r="AZ118" s="23" t="b">
        <v>0</v>
      </c>
      <c r="BA118" s="24" t="s">
        <v>1533</v>
      </c>
      <c r="BB118" s="349" t="s">
        <v>1898</v>
      </c>
      <c r="BC118" s="349" t="s">
        <v>1081</v>
      </c>
      <c r="BD118" s="350">
        <v>1335.9601765</v>
      </c>
      <c r="BE118" s="349" t="s">
        <v>1074</v>
      </c>
      <c r="BF118" s="143" t="s">
        <v>264</v>
      </c>
      <c r="BG118" s="143" t="s">
        <v>264</v>
      </c>
      <c r="BH118" s="143" t="s">
        <v>264</v>
      </c>
      <c r="BI118" s="143" t="s">
        <v>264</v>
      </c>
      <c r="BJ118" s="143" t="s">
        <v>264</v>
      </c>
      <c r="BK118" s="18" t="s">
        <v>1877</v>
      </c>
      <c r="BL118" s="18" t="s">
        <v>1459</v>
      </c>
      <c r="BM118" s="105" t="s">
        <v>1899</v>
      </c>
      <c r="BN118" s="113" t="s">
        <v>1900</v>
      </c>
      <c r="BO118" s="115" t="s">
        <v>1629</v>
      </c>
      <c r="BP118" s="123">
        <v>1419</v>
      </c>
      <c r="BQ118" s="141">
        <f t="shared" ref="BQ118:BQ124" si="13">BP118/AT118-1</f>
        <v>-0.55656250000000007</v>
      </c>
      <c r="BR118" s="123">
        <v>42</v>
      </c>
      <c r="BS118" s="141">
        <f t="shared" ref="BS118:BS124" si="14">BR118/AW118-1</f>
        <v>-0.34375</v>
      </c>
      <c r="BX118" s="123">
        <v>15</v>
      </c>
      <c r="BY118" s="141">
        <f t="shared" ref="BY118:BY121" si="15">BX118/AR118-1</f>
        <v>-0.8125</v>
      </c>
      <c r="CC118" s="18"/>
      <c r="CD118" s="18"/>
      <c r="CE118" s="18"/>
      <c r="CI118" s="18"/>
      <c r="CJ118" s="18"/>
    </row>
    <row r="119" spans="1:88" s="123" customFormat="1" ht="109.2">
      <c r="A119" s="23" t="b">
        <v>1</v>
      </c>
      <c r="B119" s="57" t="s">
        <v>1443</v>
      </c>
      <c r="C119" s="57"/>
      <c r="D119" s="23" t="b">
        <v>0</v>
      </c>
      <c r="E119" s="23" t="b">
        <v>0</v>
      </c>
      <c r="F119" s="31" t="s">
        <v>1901</v>
      </c>
      <c r="G119" s="18" t="s">
        <v>1902</v>
      </c>
      <c r="H119" s="31"/>
      <c r="I119" s="18" t="s">
        <v>241</v>
      </c>
      <c r="J119" s="47" t="s">
        <v>573</v>
      </c>
      <c r="K119" s="115" t="s">
        <v>1875</v>
      </c>
      <c r="L119" s="24" t="s">
        <v>241</v>
      </c>
      <c r="M119" s="24"/>
      <c r="N119" s="24"/>
      <c r="O119" s="24" t="s">
        <v>304</v>
      </c>
      <c r="P119" s="24"/>
      <c r="Q119" s="24">
        <v>2030</v>
      </c>
      <c r="R119" s="24" t="s">
        <v>456</v>
      </c>
      <c r="S119" s="24" t="s">
        <v>475</v>
      </c>
      <c r="T119" s="24"/>
      <c r="U119" s="189">
        <v>9</v>
      </c>
      <c r="V119" s="24" t="str">
        <f t="shared" si="8"/>
        <v>Mature</v>
      </c>
      <c r="W119" s="24"/>
      <c r="X119" s="23" t="b">
        <v>0</v>
      </c>
      <c r="Y119" s="158">
        <v>0.85</v>
      </c>
      <c r="Z119" s="24"/>
      <c r="AA119" s="24" t="s">
        <v>405</v>
      </c>
      <c r="AB119" s="24" t="s">
        <v>264</v>
      </c>
      <c r="AC119" s="184"/>
      <c r="AD119" s="24"/>
      <c r="AE119" s="184">
        <v>1</v>
      </c>
      <c r="AF119" s="24" t="s">
        <v>1351</v>
      </c>
      <c r="AG119" s="24" t="s">
        <v>346</v>
      </c>
      <c r="AH119" s="24" t="s">
        <v>346</v>
      </c>
      <c r="AI119" s="24" t="s">
        <v>346</v>
      </c>
      <c r="AJ119" s="184">
        <v>0.85</v>
      </c>
      <c r="AK119" s="184">
        <v>0.85</v>
      </c>
      <c r="AL119" s="18" t="s">
        <v>1351</v>
      </c>
      <c r="AM119" s="184"/>
      <c r="AN119" s="18"/>
      <c r="AO119" s="194" t="s">
        <v>264</v>
      </c>
      <c r="AP119" s="24">
        <v>0</v>
      </c>
      <c r="AQ119" s="24">
        <v>0</v>
      </c>
      <c r="AR119" s="24">
        <v>80</v>
      </c>
      <c r="AS119" s="24">
        <v>0</v>
      </c>
      <c r="AT119" s="169">
        <v>3200</v>
      </c>
      <c r="AU119" s="24">
        <v>0</v>
      </c>
      <c r="AV119" s="111">
        <f t="shared" si="12"/>
        <v>2</v>
      </c>
      <c r="AW119" s="24">
        <v>64</v>
      </c>
      <c r="AX119" s="177">
        <v>0</v>
      </c>
      <c r="AY119" s="18"/>
      <c r="AZ119" s="23" t="b">
        <v>0</v>
      </c>
      <c r="BA119" s="24" t="s">
        <v>1533</v>
      </c>
      <c r="BB119" s="349" t="s">
        <v>1898</v>
      </c>
      <c r="BC119" s="349" t="s">
        <v>1081</v>
      </c>
      <c r="BD119" s="350">
        <v>1222.3275464000001</v>
      </c>
      <c r="BE119" s="349" t="s">
        <v>1075</v>
      </c>
      <c r="BF119" s="143" t="s">
        <v>264</v>
      </c>
      <c r="BG119" s="143" t="s">
        <v>264</v>
      </c>
      <c r="BH119" s="143" t="s">
        <v>264</v>
      </c>
      <c r="BI119" s="143" t="s">
        <v>264</v>
      </c>
      <c r="BJ119" s="143" t="s">
        <v>264</v>
      </c>
      <c r="BK119" s="18" t="s">
        <v>1881</v>
      </c>
      <c r="BL119" s="18" t="s">
        <v>1459</v>
      </c>
      <c r="BM119" s="105" t="s">
        <v>1899</v>
      </c>
      <c r="BN119" s="113" t="s">
        <v>1900</v>
      </c>
      <c r="BO119" s="115" t="s">
        <v>1629</v>
      </c>
      <c r="BP119" s="123">
        <v>1419</v>
      </c>
      <c r="BQ119" s="141">
        <f t="shared" si="13"/>
        <v>-0.55656250000000007</v>
      </c>
      <c r="BR119" s="123">
        <v>42</v>
      </c>
      <c r="BS119" s="141">
        <f t="shared" si="14"/>
        <v>-0.34375</v>
      </c>
      <c r="BX119" s="123">
        <v>15</v>
      </c>
      <c r="BY119" s="141">
        <f t="shared" si="15"/>
        <v>-0.8125</v>
      </c>
      <c r="CC119" s="18"/>
      <c r="CD119" s="18"/>
      <c r="CE119" s="18"/>
      <c r="CI119" s="18"/>
      <c r="CJ119" s="18"/>
    </row>
    <row r="120" spans="1:88" s="123" customFormat="1" ht="109.2">
      <c r="A120" s="23" t="b">
        <v>1</v>
      </c>
      <c r="B120" s="57" t="s">
        <v>1443</v>
      </c>
      <c r="C120" s="57"/>
      <c r="D120" s="23" t="b">
        <v>0</v>
      </c>
      <c r="E120" s="23" t="b">
        <v>0</v>
      </c>
      <c r="F120" s="31" t="s">
        <v>1903</v>
      </c>
      <c r="G120" s="18" t="s">
        <v>1904</v>
      </c>
      <c r="H120" s="31"/>
      <c r="I120" s="18" t="s">
        <v>241</v>
      </c>
      <c r="J120" s="47" t="s">
        <v>573</v>
      </c>
      <c r="K120" s="115" t="s">
        <v>1875</v>
      </c>
      <c r="L120" s="24" t="s">
        <v>241</v>
      </c>
      <c r="M120" s="24"/>
      <c r="N120" s="24"/>
      <c r="O120" s="24" t="s">
        <v>304</v>
      </c>
      <c r="P120" s="24"/>
      <c r="Q120" s="24">
        <v>2040</v>
      </c>
      <c r="R120" s="24" t="s">
        <v>456</v>
      </c>
      <c r="S120" s="24" t="s">
        <v>475</v>
      </c>
      <c r="T120" s="24"/>
      <c r="U120" s="189">
        <v>9</v>
      </c>
      <c r="V120" s="24" t="str">
        <f t="shared" si="8"/>
        <v>Mature</v>
      </c>
      <c r="W120" s="24"/>
      <c r="X120" s="23" t="b">
        <v>0</v>
      </c>
      <c r="Y120" s="158">
        <v>0.85</v>
      </c>
      <c r="Z120" s="24"/>
      <c r="AA120" s="24" t="s">
        <v>405</v>
      </c>
      <c r="AB120" s="24" t="s">
        <v>264</v>
      </c>
      <c r="AC120" s="184"/>
      <c r="AD120" s="24"/>
      <c r="AE120" s="184">
        <v>1</v>
      </c>
      <c r="AF120" s="24" t="s">
        <v>1351</v>
      </c>
      <c r="AG120" s="24" t="s">
        <v>346</v>
      </c>
      <c r="AH120" s="24" t="s">
        <v>346</v>
      </c>
      <c r="AI120" s="24" t="s">
        <v>346</v>
      </c>
      <c r="AJ120" s="184">
        <v>0.85</v>
      </c>
      <c r="AK120" s="184">
        <v>0.85</v>
      </c>
      <c r="AL120" s="18" t="s">
        <v>1351</v>
      </c>
      <c r="AM120" s="184"/>
      <c r="AN120" s="18"/>
      <c r="AO120" s="194" t="s">
        <v>264</v>
      </c>
      <c r="AP120" s="24">
        <v>0</v>
      </c>
      <c r="AQ120" s="24">
        <v>0</v>
      </c>
      <c r="AR120" s="24">
        <v>80</v>
      </c>
      <c r="AS120" s="24">
        <v>0</v>
      </c>
      <c r="AT120" s="169">
        <v>3200</v>
      </c>
      <c r="AU120" s="24">
        <v>0</v>
      </c>
      <c r="AV120" s="111">
        <f t="shared" si="12"/>
        <v>2</v>
      </c>
      <c r="AW120" s="24">
        <v>64</v>
      </c>
      <c r="AX120" s="177">
        <v>0</v>
      </c>
      <c r="AY120" s="18"/>
      <c r="AZ120" s="23" t="b">
        <v>0</v>
      </c>
      <c r="BA120" s="24" t="s">
        <v>1533</v>
      </c>
      <c r="BB120" s="349" t="s">
        <v>1898</v>
      </c>
      <c r="BC120" s="349" t="s">
        <v>1081</v>
      </c>
      <c r="BD120" s="350">
        <v>973.32500359999995</v>
      </c>
      <c r="BE120" s="349" t="s">
        <v>1076</v>
      </c>
      <c r="BF120" s="143" t="s">
        <v>264</v>
      </c>
      <c r="BG120" s="143" t="s">
        <v>264</v>
      </c>
      <c r="BH120" s="143" t="s">
        <v>264</v>
      </c>
      <c r="BI120" s="143" t="s">
        <v>264</v>
      </c>
      <c r="BJ120" s="143" t="s">
        <v>264</v>
      </c>
      <c r="BK120" s="18" t="s">
        <v>1881</v>
      </c>
      <c r="BL120" s="18" t="s">
        <v>1459</v>
      </c>
      <c r="BM120" s="105" t="s">
        <v>1899</v>
      </c>
      <c r="BN120" s="113" t="s">
        <v>1900</v>
      </c>
      <c r="BO120" s="115" t="s">
        <v>1629</v>
      </c>
      <c r="BP120" s="123">
        <v>1419</v>
      </c>
      <c r="BQ120" s="141">
        <f t="shared" si="13"/>
        <v>-0.55656250000000007</v>
      </c>
      <c r="BR120" s="123">
        <v>42</v>
      </c>
      <c r="BS120" s="141">
        <f t="shared" si="14"/>
        <v>-0.34375</v>
      </c>
      <c r="BX120" s="123">
        <v>15</v>
      </c>
      <c r="BY120" s="141">
        <f t="shared" si="15"/>
        <v>-0.8125</v>
      </c>
      <c r="CC120" s="18"/>
      <c r="CD120" s="18"/>
      <c r="CE120" s="18"/>
      <c r="CI120" s="18"/>
      <c r="CJ120" s="18"/>
    </row>
    <row r="121" spans="1:88" ht="109.2">
      <c r="A121" s="23" t="b">
        <v>1</v>
      </c>
      <c r="B121" s="57" t="s">
        <v>1443</v>
      </c>
      <c r="C121" s="57"/>
      <c r="D121" s="23" t="b">
        <v>0</v>
      </c>
      <c r="E121" s="23" t="b">
        <v>0</v>
      </c>
      <c r="F121" s="31" t="s">
        <v>1905</v>
      </c>
      <c r="G121" s="18" t="s">
        <v>1906</v>
      </c>
      <c r="I121" s="18" t="s">
        <v>241</v>
      </c>
      <c r="J121" s="47" t="s">
        <v>573</v>
      </c>
      <c r="K121" s="115" t="s">
        <v>1875</v>
      </c>
      <c r="L121" s="24" t="s">
        <v>241</v>
      </c>
      <c r="M121" s="24"/>
      <c r="N121" s="24"/>
      <c r="O121" s="24" t="s">
        <v>304</v>
      </c>
      <c r="P121" s="24"/>
      <c r="Q121" s="24">
        <v>2050</v>
      </c>
      <c r="R121" s="24" t="s">
        <v>456</v>
      </c>
      <c r="S121" s="24" t="s">
        <v>475</v>
      </c>
      <c r="U121" s="189">
        <v>9</v>
      </c>
      <c r="V121" s="24" t="str">
        <f t="shared" si="8"/>
        <v>Mature</v>
      </c>
      <c r="X121" s="23" t="b">
        <v>0</v>
      </c>
      <c r="Y121" s="158">
        <v>0.85</v>
      </c>
      <c r="AA121" s="24" t="s">
        <v>405</v>
      </c>
      <c r="AB121" s="24" t="s">
        <v>264</v>
      </c>
      <c r="AE121" s="184">
        <v>1</v>
      </c>
      <c r="AF121" s="24" t="s">
        <v>1351</v>
      </c>
      <c r="AG121" s="24" t="s">
        <v>346</v>
      </c>
      <c r="AH121" s="24" t="s">
        <v>346</v>
      </c>
      <c r="AI121" s="24" t="s">
        <v>346</v>
      </c>
      <c r="AJ121" s="184">
        <v>0.85</v>
      </c>
      <c r="AK121" s="184">
        <v>0.85</v>
      </c>
      <c r="AL121" s="18" t="s">
        <v>1351</v>
      </c>
      <c r="AO121" s="194" t="s">
        <v>264</v>
      </c>
      <c r="AP121" s="24">
        <v>0</v>
      </c>
      <c r="AQ121" s="24">
        <v>0</v>
      </c>
      <c r="AR121" s="24">
        <v>80</v>
      </c>
      <c r="AS121" s="24">
        <v>0</v>
      </c>
      <c r="AT121" s="169">
        <v>3200</v>
      </c>
      <c r="AU121" s="24">
        <v>0</v>
      </c>
      <c r="AV121" s="111">
        <f t="shared" si="12"/>
        <v>2</v>
      </c>
      <c r="AW121" s="24">
        <v>64</v>
      </c>
      <c r="AX121" s="177">
        <v>0</v>
      </c>
      <c r="AZ121" s="23" t="b">
        <v>0</v>
      </c>
      <c r="BA121" s="24" t="s">
        <v>1533</v>
      </c>
      <c r="BB121" s="349" t="s">
        <v>1898</v>
      </c>
      <c r="BC121" s="349" t="s">
        <v>1081</v>
      </c>
      <c r="BD121" s="350">
        <v>669.51400349999994</v>
      </c>
      <c r="BE121" s="349" t="s">
        <v>1077</v>
      </c>
      <c r="BF121" s="143" t="s">
        <v>264</v>
      </c>
      <c r="BG121" s="143" t="s">
        <v>264</v>
      </c>
      <c r="BH121" s="143" t="s">
        <v>264</v>
      </c>
      <c r="BI121" s="143" t="s">
        <v>264</v>
      </c>
      <c r="BJ121" s="143" t="s">
        <v>264</v>
      </c>
      <c r="BK121" s="18" t="s">
        <v>1877</v>
      </c>
      <c r="BL121" s="18" t="s">
        <v>1459</v>
      </c>
      <c r="BM121" s="105" t="s">
        <v>1899</v>
      </c>
      <c r="BN121" s="113" t="s">
        <v>1900</v>
      </c>
      <c r="BO121" s="115" t="s">
        <v>1629</v>
      </c>
      <c r="BP121" s="18">
        <v>1400</v>
      </c>
      <c r="BQ121" s="141">
        <f t="shared" si="13"/>
        <v>-0.5625</v>
      </c>
      <c r="BR121" s="18">
        <v>135</v>
      </c>
      <c r="BS121" s="141">
        <f t="shared" si="14"/>
        <v>1.109375</v>
      </c>
      <c r="BX121" s="123">
        <v>15</v>
      </c>
      <c r="BY121" s="141">
        <f t="shared" si="15"/>
        <v>-0.8125</v>
      </c>
    </row>
    <row r="122" spans="1:88" ht="31.2">
      <c r="A122" s="204" t="b">
        <v>1</v>
      </c>
      <c r="B122" s="150" t="s">
        <v>1443</v>
      </c>
      <c r="C122" s="150"/>
      <c r="D122" s="204" t="b">
        <v>0</v>
      </c>
      <c r="E122" s="204" t="b">
        <v>0</v>
      </c>
      <c r="F122" s="206" t="s">
        <v>1907</v>
      </c>
      <c r="G122" s="159" t="s">
        <v>1908</v>
      </c>
      <c r="H122" s="206"/>
      <c r="I122" s="159" t="s">
        <v>251</v>
      </c>
      <c r="J122" s="207" t="s">
        <v>579</v>
      </c>
      <c r="K122" s="207" t="s">
        <v>1875</v>
      </c>
      <c r="L122" s="150" t="s">
        <v>241</v>
      </c>
      <c r="M122" s="150" t="s">
        <v>241</v>
      </c>
      <c r="N122" s="150" t="s">
        <v>295</v>
      </c>
      <c r="O122" s="150" t="s">
        <v>304</v>
      </c>
      <c r="P122" s="150"/>
      <c r="Q122" s="150">
        <v>2020</v>
      </c>
      <c r="R122" s="150" t="s">
        <v>456</v>
      </c>
      <c r="S122" s="150" t="s">
        <v>475</v>
      </c>
      <c r="T122" s="150"/>
      <c r="U122" s="208">
        <v>9</v>
      </c>
      <c r="V122" s="150" t="str">
        <f t="shared" si="8"/>
        <v>Mature</v>
      </c>
      <c r="W122" s="150"/>
      <c r="X122" s="204" t="b">
        <v>0</v>
      </c>
      <c r="Y122" s="217">
        <v>0.85</v>
      </c>
      <c r="Z122" s="150"/>
      <c r="AA122" s="150" t="s">
        <v>409</v>
      </c>
      <c r="AB122" s="150" t="s">
        <v>264</v>
      </c>
      <c r="AC122" s="209"/>
      <c r="AD122" s="150"/>
      <c r="AE122" s="209">
        <v>1</v>
      </c>
      <c r="AF122" s="150" t="s">
        <v>1351</v>
      </c>
      <c r="AG122" s="150" t="s">
        <v>346</v>
      </c>
      <c r="AH122" s="150" t="s">
        <v>346</v>
      </c>
      <c r="AI122" s="150" t="s">
        <v>346</v>
      </c>
      <c r="AJ122" s="209">
        <v>0.85</v>
      </c>
      <c r="AK122" s="209">
        <v>0.85</v>
      </c>
      <c r="AL122" s="159" t="s">
        <v>1351</v>
      </c>
      <c r="AM122" s="209"/>
      <c r="AN122" s="159"/>
      <c r="AO122" s="211" t="s">
        <v>264</v>
      </c>
      <c r="AP122" s="150">
        <v>0</v>
      </c>
      <c r="AQ122" s="150">
        <v>0</v>
      </c>
      <c r="AR122" s="150">
        <v>80</v>
      </c>
      <c r="AS122" s="150">
        <v>0</v>
      </c>
      <c r="AT122" s="218">
        <v>0</v>
      </c>
      <c r="AU122" s="150">
        <v>0</v>
      </c>
      <c r="AV122" s="214">
        <v>0</v>
      </c>
      <c r="AW122" s="150">
        <v>0</v>
      </c>
      <c r="AX122" s="215">
        <v>0</v>
      </c>
      <c r="AY122" s="159"/>
      <c r="AZ122" s="204" t="b">
        <v>0</v>
      </c>
      <c r="BA122" s="150" t="s">
        <v>1533</v>
      </c>
      <c r="BB122" s="351" t="s">
        <v>1876</v>
      </c>
      <c r="BC122" s="351" t="s">
        <v>1081</v>
      </c>
      <c r="BD122" s="352">
        <v>1508.5487278999999</v>
      </c>
      <c r="BE122" s="351" t="s">
        <v>1074</v>
      </c>
      <c r="BF122" s="216" t="s">
        <v>264</v>
      </c>
      <c r="BG122" s="216" t="s">
        <v>264</v>
      </c>
      <c r="BH122" s="216" t="s">
        <v>264</v>
      </c>
      <c r="BI122" s="216" t="s">
        <v>264</v>
      </c>
      <c r="BJ122" s="216" t="s">
        <v>264</v>
      </c>
      <c r="BK122" s="159" t="s">
        <v>1877</v>
      </c>
      <c r="BL122" s="159" t="s">
        <v>1512</v>
      </c>
      <c r="BM122" s="207" t="s">
        <v>1909</v>
      </c>
      <c r="BN122" s="159"/>
      <c r="BO122" s="207" t="s">
        <v>1629</v>
      </c>
      <c r="BP122" s="18">
        <v>1400</v>
      </c>
      <c r="BQ122" s="141" t="e">
        <f t="shared" si="13"/>
        <v>#DIV/0!</v>
      </c>
      <c r="BR122" s="18">
        <v>135</v>
      </c>
      <c r="BS122" s="141" t="e">
        <f t="shared" si="14"/>
        <v>#DIV/0!</v>
      </c>
    </row>
    <row r="123" spans="1:88" ht="31.2">
      <c r="A123" s="204" t="b">
        <v>1</v>
      </c>
      <c r="B123" s="150" t="s">
        <v>1443</v>
      </c>
      <c r="C123" s="150"/>
      <c r="D123" s="204" t="b">
        <v>0</v>
      </c>
      <c r="E123" s="204" t="b">
        <v>0</v>
      </c>
      <c r="F123" s="206" t="s">
        <v>1910</v>
      </c>
      <c r="G123" s="159" t="s">
        <v>1911</v>
      </c>
      <c r="H123" s="206"/>
      <c r="I123" s="159" t="s">
        <v>251</v>
      </c>
      <c r="J123" s="207" t="s">
        <v>579</v>
      </c>
      <c r="K123" s="207" t="s">
        <v>1875</v>
      </c>
      <c r="L123" s="150" t="s">
        <v>241</v>
      </c>
      <c r="M123" s="150" t="s">
        <v>241</v>
      </c>
      <c r="N123" s="150" t="s">
        <v>295</v>
      </c>
      <c r="O123" s="150" t="s">
        <v>304</v>
      </c>
      <c r="P123" s="150"/>
      <c r="Q123" s="150">
        <v>2050</v>
      </c>
      <c r="R123" s="150" t="s">
        <v>456</v>
      </c>
      <c r="S123" s="150" t="s">
        <v>475</v>
      </c>
      <c r="T123" s="150"/>
      <c r="U123" s="208">
        <v>9</v>
      </c>
      <c r="V123" s="150" t="str">
        <f t="shared" si="8"/>
        <v>Mature</v>
      </c>
      <c r="W123" s="150"/>
      <c r="X123" s="204" t="b">
        <v>0</v>
      </c>
      <c r="Y123" s="217">
        <v>0.85</v>
      </c>
      <c r="Z123" s="150"/>
      <c r="AA123" s="150" t="s">
        <v>409</v>
      </c>
      <c r="AB123" s="150" t="s">
        <v>264</v>
      </c>
      <c r="AC123" s="209"/>
      <c r="AD123" s="150"/>
      <c r="AE123" s="209">
        <v>1</v>
      </c>
      <c r="AF123" s="150" t="s">
        <v>1351</v>
      </c>
      <c r="AG123" s="150" t="s">
        <v>346</v>
      </c>
      <c r="AH123" s="150" t="s">
        <v>346</v>
      </c>
      <c r="AI123" s="150" t="s">
        <v>346</v>
      </c>
      <c r="AJ123" s="209">
        <v>0.85</v>
      </c>
      <c r="AK123" s="209">
        <v>0.85</v>
      </c>
      <c r="AL123" s="159" t="s">
        <v>1351</v>
      </c>
      <c r="AM123" s="209"/>
      <c r="AN123" s="159"/>
      <c r="AO123" s="211" t="s">
        <v>264</v>
      </c>
      <c r="AP123" s="150">
        <v>0</v>
      </c>
      <c r="AQ123" s="150">
        <v>0</v>
      </c>
      <c r="AR123" s="150">
        <v>80</v>
      </c>
      <c r="AS123" s="150">
        <v>0</v>
      </c>
      <c r="AT123" s="218">
        <v>0</v>
      </c>
      <c r="AU123" s="150">
        <v>0</v>
      </c>
      <c r="AV123" s="214">
        <v>0</v>
      </c>
      <c r="AW123" s="150">
        <v>0</v>
      </c>
      <c r="AX123" s="215">
        <v>0</v>
      </c>
      <c r="AY123" s="159"/>
      <c r="AZ123" s="204" t="b">
        <v>0</v>
      </c>
      <c r="BA123" s="150" t="s">
        <v>1533</v>
      </c>
      <c r="BB123" s="351" t="s">
        <v>1876</v>
      </c>
      <c r="BC123" s="351" t="s">
        <v>1081</v>
      </c>
      <c r="BD123" s="352">
        <v>714.38198409999995</v>
      </c>
      <c r="BE123" s="351" t="s">
        <v>1077</v>
      </c>
      <c r="BF123" s="216" t="s">
        <v>264</v>
      </c>
      <c r="BG123" s="216" t="s">
        <v>264</v>
      </c>
      <c r="BH123" s="216" t="s">
        <v>264</v>
      </c>
      <c r="BI123" s="216" t="s">
        <v>264</v>
      </c>
      <c r="BJ123" s="216" t="s">
        <v>264</v>
      </c>
      <c r="BK123" s="159" t="s">
        <v>1877</v>
      </c>
      <c r="BL123" s="159" t="s">
        <v>1512</v>
      </c>
      <c r="BM123" s="207" t="s">
        <v>1909</v>
      </c>
      <c r="BN123" s="159"/>
      <c r="BO123" s="207" t="s">
        <v>1629</v>
      </c>
      <c r="BP123" s="18">
        <v>1400</v>
      </c>
      <c r="BQ123" s="141" t="e">
        <f t="shared" si="13"/>
        <v>#DIV/0!</v>
      </c>
      <c r="BR123" s="18">
        <v>135</v>
      </c>
      <c r="BS123" s="141" t="e">
        <f t="shared" si="14"/>
        <v>#DIV/0!</v>
      </c>
    </row>
    <row r="124" spans="1:88" ht="109.2">
      <c r="A124" s="23" t="b">
        <v>1</v>
      </c>
      <c r="B124" s="57" t="s">
        <v>1443</v>
      </c>
      <c r="C124" s="57"/>
      <c r="D124" s="23" t="b">
        <v>0</v>
      </c>
      <c r="E124" s="23" t="b">
        <v>0</v>
      </c>
      <c r="F124" s="31" t="s">
        <v>1912</v>
      </c>
      <c r="G124" s="18" t="s">
        <v>1913</v>
      </c>
      <c r="I124" s="18" t="s">
        <v>241</v>
      </c>
      <c r="J124" s="47" t="s">
        <v>577</v>
      </c>
      <c r="K124" s="115" t="s">
        <v>1875</v>
      </c>
      <c r="L124" s="24" t="s">
        <v>241</v>
      </c>
      <c r="M124" s="24"/>
      <c r="N124" s="24"/>
      <c r="O124" s="24" t="s">
        <v>304</v>
      </c>
      <c r="P124" s="24"/>
      <c r="Q124" s="24">
        <v>2020</v>
      </c>
      <c r="R124" s="24" t="s">
        <v>456</v>
      </c>
      <c r="S124" s="24" t="s">
        <v>475</v>
      </c>
      <c r="U124" s="189">
        <v>9</v>
      </c>
      <c r="V124" s="24" t="str">
        <f t="shared" si="8"/>
        <v>Mature</v>
      </c>
      <c r="X124" s="23" t="b">
        <v>0</v>
      </c>
      <c r="Y124" s="158">
        <v>0.85</v>
      </c>
      <c r="AA124" s="24" t="s">
        <v>407</v>
      </c>
      <c r="AB124" s="24" t="s">
        <v>264</v>
      </c>
      <c r="AE124" s="184">
        <v>1</v>
      </c>
      <c r="AF124" s="24" t="s">
        <v>1351</v>
      </c>
      <c r="AG124" s="24" t="s">
        <v>346</v>
      </c>
      <c r="AH124" s="24" t="s">
        <v>346</v>
      </c>
      <c r="AI124" s="24" t="s">
        <v>346</v>
      </c>
      <c r="AJ124" s="184">
        <v>0.85</v>
      </c>
      <c r="AK124" s="184">
        <v>0.85</v>
      </c>
      <c r="AL124" s="18" t="s">
        <v>1351</v>
      </c>
      <c r="AO124" s="194" t="s">
        <v>264</v>
      </c>
      <c r="AP124" s="24">
        <v>0</v>
      </c>
      <c r="AQ124" s="24">
        <v>0</v>
      </c>
      <c r="AR124" s="24">
        <v>80</v>
      </c>
      <c r="AS124" s="24">
        <v>0</v>
      </c>
      <c r="AT124" s="169">
        <v>3000</v>
      </c>
      <c r="AU124" s="24">
        <v>0</v>
      </c>
      <c r="AV124" s="111">
        <f t="shared" ref="AV124:AV133" si="16">+AW124/AT124%</f>
        <v>1</v>
      </c>
      <c r="AW124" s="24">
        <v>30</v>
      </c>
      <c r="AX124" s="177">
        <v>0</v>
      </c>
      <c r="AZ124" s="23" t="b">
        <v>0</v>
      </c>
      <c r="BA124" s="24" t="s">
        <v>1533</v>
      </c>
      <c r="BB124" s="349" t="s">
        <v>1876</v>
      </c>
      <c r="BC124" s="349" t="s">
        <v>1081</v>
      </c>
      <c r="BD124" s="350">
        <v>1508.5487278999999</v>
      </c>
      <c r="BE124" s="349" t="s">
        <v>1074</v>
      </c>
      <c r="BF124" s="143" t="s">
        <v>264</v>
      </c>
      <c r="BG124" s="143" t="s">
        <v>264</v>
      </c>
      <c r="BH124" s="143" t="s">
        <v>264</v>
      </c>
      <c r="BI124" s="143" t="s">
        <v>264</v>
      </c>
      <c r="BJ124" s="143" t="s">
        <v>264</v>
      </c>
      <c r="BK124" s="18" t="s">
        <v>1877</v>
      </c>
      <c r="BL124" s="18" t="s">
        <v>1459</v>
      </c>
      <c r="BM124" s="105" t="s">
        <v>1914</v>
      </c>
      <c r="BN124" s="113" t="s">
        <v>1900</v>
      </c>
      <c r="BO124" s="115" t="s">
        <v>1629</v>
      </c>
      <c r="BP124" s="18">
        <v>1400</v>
      </c>
      <c r="BQ124" s="141">
        <f t="shared" si="13"/>
        <v>-0.53333333333333333</v>
      </c>
      <c r="BR124" s="18">
        <v>135</v>
      </c>
      <c r="BS124" s="141">
        <f t="shared" si="14"/>
        <v>3.5</v>
      </c>
    </row>
    <row r="125" spans="1:88" ht="17.25" customHeight="1">
      <c r="A125" s="23" t="b">
        <v>1</v>
      </c>
      <c r="B125" s="57" t="s">
        <v>1443</v>
      </c>
      <c r="C125" s="57"/>
      <c r="D125" s="23" t="b">
        <v>0</v>
      </c>
      <c r="E125" s="23" t="b">
        <v>0</v>
      </c>
      <c r="F125" s="31" t="s">
        <v>1915</v>
      </c>
      <c r="G125" s="18" t="s">
        <v>1916</v>
      </c>
      <c r="I125" s="18" t="s">
        <v>241</v>
      </c>
      <c r="J125" s="47" t="s">
        <v>577</v>
      </c>
      <c r="K125" s="115" t="s">
        <v>1875</v>
      </c>
      <c r="L125" s="24" t="s">
        <v>241</v>
      </c>
      <c r="M125" s="24"/>
      <c r="N125" s="24"/>
      <c r="O125" s="24" t="s">
        <v>304</v>
      </c>
      <c r="P125" s="24"/>
      <c r="Q125" s="24">
        <v>2030</v>
      </c>
      <c r="R125" s="24" t="s">
        <v>456</v>
      </c>
      <c r="S125" s="24" t="s">
        <v>475</v>
      </c>
      <c r="U125" s="189">
        <v>9</v>
      </c>
      <c r="V125" s="24" t="str">
        <f t="shared" si="8"/>
        <v>Mature</v>
      </c>
      <c r="X125" s="23" t="b">
        <v>0</v>
      </c>
      <c r="Y125" s="158">
        <v>0.85</v>
      </c>
      <c r="AA125" s="24" t="s">
        <v>407</v>
      </c>
      <c r="AB125" s="24" t="s">
        <v>264</v>
      </c>
      <c r="AE125" s="184">
        <v>1</v>
      </c>
      <c r="AF125" s="24" t="s">
        <v>1351</v>
      </c>
      <c r="AG125" s="24" t="s">
        <v>346</v>
      </c>
      <c r="AH125" s="24" t="s">
        <v>346</v>
      </c>
      <c r="AI125" s="24" t="s">
        <v>346</v>
      </c>
      <c r="AJ125" s="184">
        <v>0.85</v>
      </c>
      <c r="AK125" s="184">
        <v>0.85</v>
      </c>
      <c r="AL125" s="18" t="s">
        <v>1351</v>
      </c>
      <c r="AO125" s="194" t="s">
        <v>264</v>
      </c>
      <c r="AP125" s="24">
        <v>0</v>
      </c>
      <c r="AQ125" s="24">
        <v>0</v>
      </c>
      <c r="AR125" s="24">
        <v>80</v>
      </c>
      <c r="AS125" s="24">
        <v>0</v>
      </c>
      <c r="AT125" s="169">
        <v>3000</v>
      </c>
      <c r="AU125" s="24">
        <v>0</v>
      </c>
      <c r="AV125" s="111">
        <f t="shared" si="16"/>
        <v>1</v>
      </c>
      <c r="AW125" s="24">
        <v>30</v>
      </c>
      <c r="AX125" s="177">
        <v>0</v>
      </c>
      <c r="AZ125" s="23" t="b">
        <v>0</v>
      </c>
      <c r="BA125" s="24" t="s">
        <v>1533</v>
      </c>
      <c r="BB125" s="349" t="s">
        <v>1876</v>
      </c>
      <c r="BC125" s="349" t="s">
        <v>1081</v>
      </c>
      <c r="BD125" s="350">
        <v>1384.2379128</v>
      </c>
      <c r="BE125" s="349" t="s">
        <v>1075</v>
      </c>
      <c r="BF125" s="143" t="s">
        <v>264</v>
      </c>
      <c r="BG125" s="143" t="s">
        <v>264</v>
      </c>
      <c r="BH125" s="143" t="s">
        <v>264</v>
      </c>
      <c r="BI125" s="143" t="s">
        <v>264</v>
      </c>
      <c r="BJ125" s="143" t="s">
        <v>264</v>
      </c>
      <c r="BK125" s="18" t="s">
        <v>1881</v>
      </c>
      <c r="BL125" s="18" t="s">
        <v>1459</v>
      </c>
      <c r="BM125" s="105" t="s">
        <v>1914</v>
      </c>
      <c r="BN125" s="113" t="s">
        <v>1900</v>
      </c>
      <c r="BO125" s="115" t="s">
        <v>1629</v>
      </c>
    </row>
    <row r="126" spans="1:88" ht="109.2">
      <c r="A126" s="23" t="b">
        <v>1</v>
      </c>
      <c r="B126" s="57" t="s">
        <v>1443</v>
      </c>
      <c r="C126" s="57"/>
      <c r="D126" s="23" t="b">
        <v>0</v>
      </c>
      <c r="E126" s="23" t="b">
        <v>0</v>
      </c>
      <c r="F126" s="31" t="s">
        <v>1917</v>
      </c>
      <c r="G126" s="18" t="s">
        <v>1918</v>
      </c>
      <c r="I126" s="18" t="s">
        <v>241</v>
      </c>
      <c r="J126" s="47" t="s">
        <v>577</v>
      </c>
      <c r="K126" s="115" t="s">
        <v>1875</v>
      </c>
      <c r="L126" s="24" t="s">
        <v>241</v>
      </c>
      <c r="M126" s="24"/>
      <c r="N126" s="24"/>
      <c r="O126" s="24" t="s">
        <v>304</v>
      </c>
      <c r="P126" s="24"/>
      <c r="Q126" s="24">
        <v>2040</v>
      </c>
      <c r="R126" s="24" t="s">
        <v>456</v>
      </c>
      <c r="S126" s="24" t="s">
        <v>475</v>
      </c>
      <c r="U126" s="189">
        <v>9</v>
      </c>
      <c r="V126" s="24" t="str">
        <f t="shared" si="8"/>
        <v>Mature</v>
      </c>
      <c r="X126" s="23" t="b">
        <v>0</v>
      </c>
      <c r="Y126" s="158">
        <v>0.85</v>
      </c>
      <c r="AA126" s="24" t="s">
        <v>407</v>
      </c>
      <c r="AB126" s="24" t="s">
        <v>264</v>
      </c>
      <c r="AE126" s="184">
        <v>1</v>
      </c>
      <c r="AF126" s="24" t="s">
        <v>1351</v>
      </c>
      <c r="AG126" s="24" t="s">
        <v>346</v>
      </c>
      <c r="AH126" s="24" t="s">
        <v>346</v>
      </c>
      <c r="AI126" s="24" t="s">
        <v>346</v>
      </c>
      <c r="AJ126" s="184">
        <v>0.85</v>
      </c>
      <c r="AK126" s="184">
        <v>0.85</v>
      </c>
      <c r="AL126" s="18" t="s">
        <v>1351</v>
      </c>
      <c r="AO126" s="194" t="s">
        <v>264</v>
      </c>
      <c r="AP126" s="24">
        <v>0</v>
      </c>
      <c r="AQ126" s="24">
        <v>0</v>
      </c>
      <c r="AR126" s="24">
        <v>80</v>
      </c>
      <c r="AS126" s="24">
        <v>0</v>
      </c>
      <c r="AT126" s="169">
        <v>3000</v>
      </c>
      <c r="AU126" s="24">
        <v>0</v>
      </c>
      <c r="AV126" s="111">
        <f t="shared" si="16"/>
        <v>1</v>
      </c>
      <c r="AW126" s="24">
        <v>30</v>
      </c>
      <c r="AX126" s="177">
        <v>0</v>
      </c>
      <c r="AZ126" s="23" t="b">
        <v>0</v>
      </c>
      <c r="BA126" s="24" t="s">
        <v>1533</v>
      </c>
      <c r="BB126" s="349" t="s">
        <v>1876</v>
      </c>
      <c r="BC126" s="349" t="s">
        <v>1081</v>
      </c>
      <c r="BD126" s="350">
        <v>1096.8146448</v>
      </c>
      <c r="BE126" s="349" t="s">
        <v>1076</v>
      </c>
      <c r="BF126" s="143" t="s">
        <v>264</v>
      </c>
      <c r="BG126" s="143" t="s">
        <v>264</v>
      </c>
      <c r="BH126" s="143" t="s">
        <v>264</v>
      </c>
      <c r="BI126" s="143" t="s">
        <v>264</v>
      </c>
      <c r="BJ126" s="143" t="s">
        <v>264</v>
      </c>
      <c r="BK126" s="18" t="s">
        <v>1881</v>
      </c>
      <c r="BL126" s="18" t="s">
        <v>1459</v>
      </c>
      <c r="BM126" s="105" t="s">
        <v>1914</v>
      </c>
      <c r="BN126" s="113" t="s">
        <v>1900</v>
      </c>
      <c r="BO126" s="115" t="s">
        <v>1629</v>
      </c>
    </row>
    <row r="127" spans="1:88" ht="16.5" customHeight="1">
      <c r="A127" s="23" t="b">
        <v>1</v>
      </c>
      <c r="B127" s="57" t="s">
        <v>1443</v>
      </c>
      <c r="C127" s="57"/>
      <c r="D127" s="23" t="b">
        <v>0</v>
      </c>
      <c r="E127" s="23" t="b">
        <v>0</v>
      </c>
      <c r="F127" s="31" t="s">
        <v>1919</v>
      </c>
      <c r="G127" s="18" t="s">
        <v>1920</v>
      </c>
      <c r="I127" s="18" t="s">
        <v>241</v>
      </c>
      <c r="J127" s="47" t="s">
        <v>577</v>
      </c>
      <c r="K127" s="115" t="s">
        <v>1875</v>
      </c>
      <c r="L127" s="24" t="s">
        <v>241</v>
      </c>
      <c r="M127" s="24"/>
      <c r="N127" s="24"/>
      <c r="O127" s="24" t="s">
        <v>304</v>
      </c>
      <c r="P127" s="24"/>
      <c r="Q127" s="24">
        <v>2050</v>
      </c>
      <c r="R127" s="24" t="s">
        <v>456</v>
      </c>
      <c r="S127" s="24" t="s">
        <v>475</v>
      </c>
      <c r="U127" s="189">
        <v>9</v>
      </c>
      <c r="V127" s="24" t="str">
        <f t="shared" si="8"/>
        <v>Mature</v>
      </c>
      <c r="X127" s="23" t="b">
        <v>0</v>
      </c>
      <c r="Y127" s="158">
        <v>0.85</v>
      </c>
      <c r="AA127" s="24" t="s">
        <v>407</v>
      </c>
      <c r="AB127" s="24" t="s">
        <v>264</v>
      </c>
      <c r="AE127" s="184">
        <v>1</v>
      </c>
      <c r="AF127" s="24" t="s">
        <v>1351</v>
      </c>
      <c r="AG127" s="24" t="s">
        <v>346</v>
      </c>
      <c r="AH127" s="24" t="s">
        <v>346</v>
      </c>
      <c r="AI127" s="24" t="s">
        <v>346</v>
      </c>
      <c r="AJ127" s="184">
        <v>0.85</v>
      </c>
      <c r="AK127" s="184">
        <v>0.85</v>
      </c>
      <c r="AL127" s="18" t="s">
        <v>1351</v>
      </c>
      <c r="AO127" s="194" t="s">
        <v>264</v>
      </c>
      <c r="AP127" s="24">
        <v>0</v>
      </c>
      <c r="AQ127" s="24">
        <v>0</v>
      </c>
      <c r="AR127" s="24">
        <v>80</v>
      </c>
      <c r="AS127" s="24">
        <v>0</v>
      </c>
      <c r="AT127" s="169">
        <v>3000</v>
      </c>
      <c r="AU127" s="24">
        <v>0</v>
      </c>
      <c r="AV127" s="111">
        <f t="shared" si="16"/>
        <v>1</v>
      </c>
      <c r="AW127" s="24">
        <v>30</v>
      </c>
      <c r="AX127" s="177">
        <v>0</v>
      </c>
      <c r="AZ127" s="23" t="b">
        <v>0</v>
      </c>
      <c r="BA127" s="24" t="s">
        <v>1533</v>
      </c>
      <c r="BB127" s="357" t="s">
        <v>1876</v>
      </c>
      <c r="BC127" s="357" t="s">
        <v>1081</v>
      </c>
      <c r="BD127" s="358">
        <v>714.38198409999995</v>
      </c>
      <c r="BE127" s="357" t="s">
        <v>1077</v>
      </c>
      <c r="BF127" s="143" t="s">
        <v>264</v>
      </c>
      <c r="BG127" s="143" t="s">
        <v>264</v>
      </c>
      <c r="BH127" s="143" t="s">
        <v>264</v>
      </c>
      <c r="BI127" s="143" t="s">
        <v>264</v>
      </c>
      <c r="BJ127" s="143" t="s">
        <v>264</v>
      </c>
      <c r="BK127" s="18" t="s">
        <v>1877</v>
      </c>
      <c r="BL127" s="18" t="s">
        <v>1459</v>
      </c>
      <c r="BM127" s="105" t="s">
        <v>1914</v>
      </c>
      <c r="BN127" s="113" t="s">
        <v>1900</v>
      </c>
      <c r="BO127" s="115" t="s">
        <v>1629</v>
      </c>
    </row>
    <row r="128" spans="1:88" s="114" customFormat="1" ht="31.2">
      <c r="A128" s="23" t="b">
        <v>0</v>
      </c>
      <c r="B128" s="57"/>
      <c r="C128" s="57"/>
      <c r="D128" s="23" t="b">
        <v>0</v>
      </c>
      <c r="E128" s="23" t="b">
        <v>0</v>
      </c>
      <c r="F128" s="31" t="s">
        <v>1921</v>
      </c>
      <c r="G128" s="18" t="s">
        <v>1922</v>
      </c>
      <c r="H128" s="31"/>
      <c r="I128" s="18"/>
      <c r="J128" s="47" t="s">
        <v>1923</v>
      </c>
      <c r="K128" s="47" t="s">
        <v>1924</v>
      </c>
      <c r="L128" s="24" t="s">
        <v>267</v>
      </c>
      <c r="M128" s="24"/>
      <c r="N128" s="24"/>
      <c r="O128" s="24" t="s">
        <v>304</v>
      </c>
      <c r="P128" s="24"/>
      <c r="Q128" s="24">
        <v>2020</v>
      </c>
      <c r="R128" s="24" t="s">
        <v>456</v>
      </c>
      <c r="S128" s="24" t="s">
        <v>475</v>
      </c>
      <c r="T128" s="24"/>
      <c r="U128" s="189">
        <v>9</v>
      </c>
      <c r="V128" s="24" t="str">
        <f t="shared" si="8"/>
        <v>Mature</v>
      </c>
      <c r="W128" s="24"/>
      <c r="X128" s="23" t="b">
        <v>0</v>
      </c>
      <c r="Y128" s="24">
        <v>4</v>
      </c>
      <c r="Z128" s="24"/>
      <c r="AA128" s="24" t="s">
        <v>1925</v>
      </c>
      <c r="AB128" s="24" t="s">
        <v>358</v>
      </c>
      <c r="AC128" s="184"/>
      <c r="AD128" s="24"/>
      <c r="AE128" s="184" t="s">
        <v>1926</v>
      </c>
      <c r="AF128" s="24" t="s">
        <v>1485</v>
      </c>
      <c r="AG128" s="24" t="s">
        <v>431</v>
      </c>
      <c r="AH128" s="24" t="s">
        <v>431</v>
      </c>
      <c r="AI128" s="24" t="s">
        <v>431</v>
      </c>
      <c r="AJ128" s="184">
        <v>4</v>
      </c>
      <c r="AK128" s="184">
        <v>4</v>
      </c>
      <c r="AL128" s="24" t="s">
        <v>1351</v>
      </c>
      <c r="AM128" s="184"/>
      <c r="AN128" s="18"/>
      <c r="AO128" s="165" t="s">
        <v>264</v>
      </c>
      <c r="AP128" s="24">
        <v>500</v>
      </c>
      <c r="AQ128" s="24">
        <v>500</v>
      </c>
      <c r="AR128" s="24">
        <v>20</v>
      </c>
      <c r="AS128" s="24">
        <v>0</v>
      </c>
      <c r="AT128" s="228">
        <v>800</v>
      </c>
      <c r="AU128" s="24">
        <v>0</v>
      </c>
      <c r="AV128" s="111">
        <f t="shared" si="16"/>
        <v>1.5</v>
      </c>
      <c r="AW128" s="24">
        <v>12</v>
      </c>
      <c r="AX128" s="229">
        <v>0</v>
      </c>
      <c r="AY128" s="18"/>
      <c r="AZ128" s="23" t="b">
        <v>0</v>
      </c>
      <c r="BA128" s="24"/>
      <c r="BB128" s="349" t="s">
        <v>1581</v>
      </c>
      <c r="BC128" s="349" t="s">
        <v>1081</v>
      </c>
      <c r="BD128" s="350">
        <v>45.141525299999998</v>
      </c>
      <c r="BE128" s="349" t="s">
        <v>1074</v>
      </c>
      <c r="BF128" s="143" t="s">
        <v>264</v>
      </c>
      <c r="BG128" s="143" t="s">
        <v>264</v>
      </c>
      <c r="BH128" s="143" t="s">
        <v>264</v>
      </c>
      <c r="BI128" s="143" t="s">
        <v>264</v>
      </c>
      <c r="BJ128" s="143" t="s">
        <v>264</v>
      </c>
      <c r="BK128" s="18" t="s">
        <v>1927</v>
      </c>
      <c r="BL128" s="18" t="s">
        <v>1459</v>
      </c>
      <c r="BM128" s="95"/>
      <c r="BN128" s="18"/>
      <c r="BO128" s="137" t="s">
        <v>1583</v>
      </c>
      <c r="BP128" s="236">
        <v>1400</v>
      </c>
      <c r="BQ128" s="237">
        <f>BP128/AT128-1</f>
        <v>0.75</v>
      </c>
      <c r="BR128" s="236">
        <v>40</v>
      </c>
      <c r="BS128" s="237">
        <f>BR128/AW128-1</f>
        <v>2.3333333333333335</v>
      </c>
      <c r="BX128" s="236">
        <v>30</v>
      </c>
      <c r="BY128" s="237">
        <f>BX128/AR128-1</f>
        <v>0.5</v>
      </c>
      <c r="CC128" s="18"/>
      <c r="CD128" s="18"/>
      <c r="CE128" s="18"/>
      <c r="CI128" s="18"/>
      <c r="CJ128" s="18"/>
    </row>
    <row r="129" spans="1:88" s="114" customFormat="1">
      <c r="A129" s="204" t="b">
        <v>0</v>
      </c>
      <c r="B129" s="150"/>
      <c r="C129" s="150"/>
      <c r="D129" s="204" t="b">
        <v>0</v>
      </c>
      <c r="E129" s="204" t="b">
        <v>0</v>
      </c>
      <c r="F129" s="206" t="s">
        <v>1928</v>
      </c>
      <c r="G129" s="159" t="s">
        <v>1929</v>
      </c>
      <c r="H129" s="206"/>
      <c r="I129" s="159" t="s">
        <v>239</v>
      </c>
      <c r="J129" s="207" t="s">
        <v>612</v>
      </c>
      <c r="K129" s="207" t="s">
        <v>1924</v>
      </c>
      <c r="L129" s="150" t="s">
        <v>267</v>
      </c>
      <c r="M129" s="150"/>
      <c r="N129" s="150"/>
      <c r="O129" s="150" t="s">
        <v>304</v>
      </c>
      <c r="P129" s="150"/>
      <c r="Q129" s="150">
        <v>2030</v>
      </c>
      <c r="R129" s="150" t="s">
        <v>456</v>
      </c>
      <c r="S129" s="150" t="s">
        <v>475</v>
      </c>
      <c r="T129" s="150"/>
      <c r="U129" s="208"/>
      <c r="V129" s="150" t="str">
        <f t="shared" si="8"/>
        <v/>
      </c>
      <c r="W129" s="150"/>
      <c r="X129" s="204" t="b">
        <v>0</v>
      </c>
      <c r="Y129" s="150">
        <v>4</v>
      </c>
      <c r="Z129" s="150"/>
      <c r="AA129" s="150" t="s">
        <v>1930</v>
      </c>
      <c r="AB129" s="150" t="s">
        <v>358</v>
      </c>
      <c r="AC129" s="209"/>
      <c r="AD129" s="150"/>
      <c r="AE129" s="209" t="s">
        <v>1931</v>
      </c>
      <c r="AF129" s="150" t="s">
        <v>1485</v>
      </c>
      <c r="AG129" s="150" t="s">
        <v>431</v>
      </c>
      <c r="AH129" s="150" t="s">
        <v>431</v>
      </c>
      <c r="AI129" s="150" t="s">
        <v>431</v>
      </c>
      <c r="AJ129" s="209">
        <v>4</v>
      </c>
      <c r="AK129" s="209">
        <v>4</v>
      </c>
      <c r="AL129" s="150" t="s">
        <v>1351</v>
      </c>
      <c r="AM129" s="209"/>
      <c r="AN129" s="159"/>
      <c r="AO129" s="220" t="s">
        <v>264</v>
      </c>
      <c r="AP129" s="150">
        <v>500</v>
      </c>
      <c r="AQ129" s="150">
        <v>500</v>
      </c>
      <c r="AR129" s="150">
        <v>20</v>
      </c>
      <c r="AS129" s="150">
        <v>0</v>
      </c>
      <c r="AT129" s="227">
        <v>650</v>
      </c>
      <c r="AU129" s="150">
        <v>0</v>
      </c>
      <c r="AV129" s="214">
        <f t="shared" si="16"/>
        <v>0.30769230769230771</v>
      </c>
      <c r="AW129" s="150">
        <v>2</v>
      </c>
      <c r="AX129" s="215">
        <v>1.6999999999999999E-3</v>
      </c>
      <c r="AY129" s="159"/>
      <c r="AZ129" s="204" t="b">
        <v>0</v>
      </c>
      <c r="BA129" s="150"/>
      <c r="BB129" s="351" t="s">
        <v>1581</v>
      </c>
      <c r="BC129" s="351" t="s">
        <v>1081</v>
      </c>
      <c r="BD129" s="352">
        <v>37.919542999999997</v>
      </c>
      <c r="BE129" s="351" t="s">
        <v>1075</v>
      </c>
      <c r="BF129" s="216" t="s">
        <v>264</v>
      </c>
      <c r="BG129" s="216" t="s">
        <v>264</v>
      </c>
      <c r="BH129" s="216" t="s">
        <v>264</v>
      </c>
      <c r="BI129" s="216" t="s">
        <v>264</v>
      </c>
      <c r="BJ129" s="216" t="s">
        <v>264</v>
      </c>
      <c r="BK129" s="159" t="s">
        <v>1927</v>
      </c>
      <c r="BL129" s="159" t="s">
        <v>1512</v>
      </c>
      <c r="BM129" s="159"/>
      <c r="BN129" s="159"/>
      <c r="BO129" s="137" t="s">
        <v>1583</v>
      </c>
      <c r="BP129" s="236">
        <v>1400</v>
      </c>
      <c r="BQ129" s="237">
        <f>BP129/AT129-1</f>
        <v>1.1538461538461537</v>
      </c>
      <c r="BR129" s="236">
        <v>40</v>
      </c>
      <c r="BS129" s="237">
        <f>BR129/AW129-1</f>
        <v>19</v>
      </c>
      <c r="BX129" s="236">
        <v>30</v>
      </c>
      <c r="BY129" s="237">
        <f>BX129/AR129-1</f>
        <v>0.5</v>
      </c>
      <c r="CC129" s="18"/>
      <c r="CD129" s="18"/>
      <c r="CE129" s="18"/>
      <c r="CI129" s="18"/>
      <c r="CJ129" s="18"/>
    </row>
    <row r="130" spans="1:88" s="114" customFormat="1" ht="31.2">
      <c r="A130" s="23" t="b">
        <v>0</v>
      </c>
      <c r="B130" s="57"/>
      <c r="C130" s="57"/>
      <c r="D130" s="23" t="b">
        <v>0</v>
      </c>
      <c r="E130" s="23" t="b">
        <v>0</v>
      </c>
      <c r="F130" s="31" t="s">
        <v>1932</v>
      </c>
      <c r="G130" s="18" t="s">
        <v>1929</v>
      </c>
      <c r="H130" s="31"/>
      <c r="I130" s="18"/>
      <c r="J130" s="47" t="s">
        <v>1923</v>
      </c>
      <c r="K130" s="47" t="s">
        <v>1924</v>
      </c>
      <c r="L130" s="24" t="s">
        <v>267</v>
      </c>
      <c r="M130" s="24"/>
      <c r="N130" s="24"/>
      <c r="O130" s="24" t="s">
        <v>304</v>
      </c>
      <c r="P130" s="24"/>
      <c r="Q130" s="24">
        <v>2030</v>
      </c>
      <c r="R130" s="24" t="s">
        <v>456</v>
      </c>
      <c r="S130" s="24" t="s">
        <v>475</v>
      </c>
      <c r="T130" s="24"/>
      <c r="U130" s="189">
        <v>9</v>
      </c>
      <c r="V130" s="24" t="str">
        <f t="shared" si="8"/>
        <v>Mature</v>
      </c>
      <c r="W130" s="24"/>
      <c r="X130" s="23" t="b">
        <v>0</v>
      </c>
      <c r="Y130" s="24">
        <v>4</v>
      </c>
      <c r="Z130" s="24"/>
      <c r="AA130" s="24" t="s">
        <v>1925</v>
      </c>
      <c r="AB130" s="24" t="s">
        <v>358</v>
      </c>
      <c r="AC130" s="184"/>
      <c r="AD130" s="24"/>
      <c r="AE130" s="184" t="s">
        <v>1926</v>
      </c>
      <c r="AF130" s="24" t="s">
        <v>1485</v>
      </c>
      <c r="AG130" s="24" t="s">
        <v>431</v>
      </c>
      <c r="AH130" s="24" t="s">
        <v>431</v>
      </c>
      <c r="AI130" s="24" t="s">
        <v>431</v>
      </c>
      <c r="AJ130" s="184">
        <v>4</v>
      </c>
      <c r="AK130" s="184">
        <v>4</v>
      </c>
      <c r="AL130" s="24" t="s">
        <v>1351</v>
      </c>
      <c r="AM130" s="184"/>
      <c r="AN130" s="18"/>
      <c r="AO130" s="165" t="s">
        <v>264</v>
      </c>
      <c r="AP130" s="24">
        <v>500</v>
      </c>
      <c r="AQ130" s="24">
        <v>500</v>
      </c>
      <c r="AR130" s="24">
        <v>20</v>
      </c>
      <c r="AS130" s="24">
        <v>0</v>
      </c>
      <c r="AT130" s="228">
        <v>800</v>
      </c>
      <c r="AU130" s="24">
        <v>0</v>
      </c>
      <c r="AV130" s="111">
        <f t="shared" si="16"/>
        <v>1.5</v>
      </c>
      <c r="AW130" s="24">
        <v>12</v>
      </c>
      <c r="AX130" s="229">
        <v>0</v>
      </c>
      <c r="AY130" s="18"/>
      <c r="AZ130" s="23" t="b">
        <v>0</v>
      </c>
      <c r="BA130" s="24"/>
      <c r="BB130" s="349" t="s">
        <v>1581</v>
      </c>
      <c r="BC130" s="349" t="s">
        <v>1081</v>
      </c>
      <c r="BD130" s="350">
        <v>37.919542999999997</v>
      </c>
      <c r="BE130" s="349" t="s">
        <v>1075</v>
      </c>
      <c r="BF130" s="143" t="s">
        <v>264</v>
      </c>
      <c r="BG130" s="143" t="s">
        <v>264</v>
      </c>
      <c r="BH130" s="143" t="s">
        <v>264</v>
      </c>
      <c r="BI130" s="143" t="s">
        <v>264</v>
      </c>
      <c r="BJ130" s="143" t="s">
        <v>264</v>
      </c>
      <c r="BK130" s="18" t="s">
        <v>1933</v>
      </c>
      <c r="BL130" s="18" t="s">
        <v>1459</v>
      </c>
      <c r="BM130" s="95"/>
      <c r="BN130" s="18"/>
      <c r="BO130" s="137" t="s">
        <v>1583</v>
      </c>
      <c r="BP130" s="236">
        <v>1400</v>
      </c>
      <c r="BQ130" s="237">
        <f>BP130/AT130-1</f>
        <v>0.75</v>
      </c>
      <c r="BR130" s="236">
        <v>40</v>
      </c>
      <c r="BS130" s="237">
        <f>BR130/AW130-1</f>
        <v>2.3333333333333335</v>
      </c>
      <c r="BX130" s="236">
        <v>30</v>
      </c>
      <c r="BY130" s="237">
        <f>BX130/AR130-1</f>
        <v>0.5</v>
      </c>
      <c r="CC130" s="18"/>
      <c r="CD130" s="18"/>
      <c r="CE130" s="18"/>
      <c r="CI130" s="18"/>
      <c r="CJ130" s="18"/>
    </row>
    <row r="131" spans="1:88" s="114" customFormat="1">
      <c r="A131" s="204" t="b">
        <v>0</v>
      </c>
      <c r="B131" s="150"/>
      <c r="C131" s="150"/>
      <c r="D131" s="204" t="b">
        <v>0</v>
      </c>
      <c r="E131" s="204" t="b">
        <v>0</v>
      </c>
      <c r="F131" s="206" t="s">
        <v>1934</v>
      </c>
      <c r="G131" s="159" t="s">
        <v>1935</v>
      </c>
      <c r="H131" s="206"/>
      <c r="I131" s="159" t="s">
        <v>239</v>
      </c>
      <c r="J131" s="207" t="s">
        <v>1936</v>
      </c>
      <c r="K131" s="207" t="s">
        <v>1924</v>
      </c>
      <c r="L131" s="150" t="s">
        <v>267</v>
      </c>
      <c r="M131" s="150"/>
      <c r="N131" s="150"/>
      <c r="O131" s="150" t="s">
        <v>304</v>
      </c>
      <c r="P131" s="150"/>
      <c r="Q131" s="150">
        <v>2040</v>
      </c>
      <c r="R131" s="150" t="s">
        <v>456</v>
      </c>
      <c r="S131" s="150" t="s">
        <v>475</v>
      </c>
      <c r="T131" s="150"/>
      <c r="U131" s="208"/>
      <c r="V131" s="150" t="str">
        <f t="shared" si="8"/>
        <v/>
      </c>
      <c r="W131" s="150"/>
      <c r="X131" s="204" t="b">
        <v>0</v>
      </c>
      <c r="Y131" s="150">
        <v>4</v>
      </c>
      <c r="Z131" s="150"/>
      <c r="AA131" s="150" t="s">
        <v>1930</v>
      </c>
      <c r="AB131" s="150" t="s">
        <v>358</v>
      </c>
      <c r="AC131" s="209"/>
      <c r="AD131" s="150"/>
      <c r="AE131" s="209" t="s">
        <v>1931</v>
      </c>
      <c r="AF131" s="150" t="s">
        <v>1485</v>
      </c>
      <c r="AG131" s="150" t="s">
        <v>431</v>
      </c>
      <c r="AH131" s="150" t="s">
        <v>431</v>
      </c>
      <c r="AI131" s="150" t="s">
        <v>431</v>
      </c>
      <c r="AJ131" s="209">
        <v>4</v>
      </c>
      <c r="AK131" s="209">
        <v>4</v>
      </c>
      <c r="AL131" s="150" t="s">
        <v>1351</v>
      </c>
      <c r="AM131" s="209"/>
      <c r="AN131" s="159"/>
      <c r="AO131" s="220" t="s">
        <v>264</v>
      </c>
      <c r="AP131" s="150">
        <v>500</v>
      </c>
      <c r="AQ131" s="150">
        <v>500</v>
      </c>
      <c r="AR131" s="150">
        <v>20</v>
      </c>
      <c r="AS131" s="150">
        <v>0</v>
      </c>
      <c r="AT131" s="227">
        <v>650</v>
      </c>
      <c r="AU131" s="150">
        <v>0</v>
      </c>
      <c r="AV131" s="214">
        <f t="shared" si="16"/>
        <v>3.8461538461538463</v>
      </c>
      <c r="AW131" s="150">
        <v>25</v>
      </c>
      <c r="AX131" s="215">
        <v>1.6999999999999999E-3</v>
      </c>
      <c r="AY131" s="159"/>
      <c r="AZ131" s="204" t="b">
        <v>0</v>
      </c>
      <c r="BA131" s="150"/>
      <c r="BB131" s="355" t="s">
        <v>1581</v>
      </c>
      <c r="BC131" s="355" t="s">
        <v>1081</v>
      </c>
      <c r="BD131" s="356">
        <v>25.2790286</v>
      </c>
      <c r="BE131" s="355" t="s">
        <v>1076</v>
      </c>
      <c r="BF131" s="216" t="s">
        <v>264</v>
      </c>
      <c r="BG131" s="216" t="s">
        <v>264</v>
      </c>
      <c r="BH131" s="216" t="s">
        <v>264</v>
      </c>
      <c r="BI131" s="216" t="s">
        <v>264</v>
      </c>
      <c r="BJ131" s="216" t="s">
        <v>264</v>
      </c>
      <c r="BK131" s="159" t="s">
        <v>1927</v>
      </c>
      <c r="BL131" s="159" t="s">
        <v>1512</v>
      </c>
      <c r="BM131" s="159"/>
      <c r="BN131" s="159"/>
      <c r="BO131" s="137" t="s">
        <v>1583</v>
      </c>
      <c r="BP131" s="236">
        <v>1400</v>
      </c>
      <c r="BQ131" s="237">
        <f>BP131/AT131-1</f>
        <v>1.1538461538461537</v>
      </c>
      <c r="BR131" s="236">
        <v>40</v>
      </c>
      <c r="BS131" s="237">
        <f>BR131/AW131-1</f>
        <v>0.60000000000000009</v>
      </c>
      <c r="BX131" s="236">
        <v>30</v>
      </c>
      <c r="BY131" s="237">
        <f>BX131/AR131-1</f>
        <v>0.5</v>
      </c>
      <c r="CC131" s="18"/>
      <c r="CD131" s="18"/>
      <c r="CE131" s="18"/>
      <c r="CI131" s="18"/>
      <c r="CJ131" s="18"/>
    </row>
    <row r="132" spans="1:88" ht="31.2">
      <c r="A132" s="23" t="b">
        <v>0</v>
      </c>
      <c r="B132" s="57"/>
      <c r="C132" s="57"/>
      <c r="D132" s="23" t="b">
        <v>0</v>
      </c>
      <c r="E132" s="23" t="b">
        <v>0</v>
      </c>
      <c r="F132" s="31" t="s">
        <v>1937</v>
      </c>
      <c r="G132" s="18" t="s">
        <v>1935</v>
      </c>
      <c r="J132" s="47" t="s">
        <v>1938</v>
      </c>
      <c r="K132" s="47" t="s">
        <v>1924</v>
      </c>
      <c r="L132" s="24" t="s">
        <v>267</v>
      </c>
      <c r="M132" s="24"/>
      <c r="N132" s="24"/>
      <c r="O132" s="24" t="s">
        <v>304</v>
      </c>
      <c r="P132" s="24"/>
      <c r="Q132" s="24">
        <v>2040</v>
      </c>
      <c r="R132" s="24" t="s">
        <v>456</v>
      </c>
      <c r="S132" s="24" t="s">
        <v>475</v>
      </c>
      <c r="U132" s="189">
        <v>9</v>
      </c>
      <c r="V132" s="24" t="str">
        <f t="shared" si="8"/>
        <v>Mature</v>
      </c>
      <c r="X132" s="23" t="b">
        <v>0</v>
      </c>
      <c r="Y132" s="24">
        <v>4</v>
      </c>
      <c r="AA132" s="24" t="s">
        <v>1925</v>
      </c>
      <c r="AB132" s="24" t="s">
        <v>358</v>
      </c>
      <c r="AE132" s="184" t="s">
        <v>1926</v>
      </c>
      <c r="AF132" s="24" t="s">
        <v>1485</v>
      </c>
      <c r="AG132" s="24" t="s">
        <v>431</v>
      </c>
      <c r="AH132" s="24" t="s">
        <v>431</v>
      </c>
      <c r="AI132" s="24" t="s">
        <v>431</v>
      </c>
      <c r="AJ132" s="184">
        <v>4</v>
      </c>
      <c r="AK132" s="184">
        <v>4</v>
      </c>
      <c r="AL132" s="24" t="s">
        <v>1351</v>
      </c>
      <c r="AO132" s="165" t="s">
        <v>264</v>
      </c>
      <c r="AP132" s="24">
        <v>500</v>
      </c>
      <c r="AQ132" s="24">
        <v>500</v>
      </c>
      <c r="AR132" s="24">
        <v>20</v>
      </c>
      <c r="AS132" s="24">
        <v>0</v>
      </c>
      <c r="AT132" s="228">
        <v>800</v>
      </c>
      <c r="AU132" s="24">
        <v>0</v>
      </c>
      <c r="AV132" s="111">
        <f t="shared" si="16"/>
        <v>1.5</v>
      </c>
      <c r="AW132" s="24">
        <v>12</v>
      </c>
      <c r="AX132" s="229">
        <v>0</v>
      </c>
      <c r="AZ132" s="23" t="b">
        <v>0</v>
      </c>
      <c r="BA132" s="24"/>
      <c r="BB132" s="349" t="s">
        <v>1581</v>
      </c>
      <c r="BC132" s="349" t="s">
        <v>1081</v>
      </c>
      <c r="BD132" s="350">
        <v>25.2790286</v>
      </c>
      <c r="BE132" s="349" t="s">
        <v>1076</v>
      </c>
      <c r="BF132" s="143" t="s">
        <v>264</v>
      </c>
      <c r="BG132" s="143" t="s">
        <v>264</v>
      </c>
      <c r="BH132" s="143" t="s">
        <v>264</v>
      </c>
      <c r="BI132" s="143" t="s">
        <v>264</v>
      </c>
      <c r="BJ132" s="143" t="s">
        <v>264</v>
      </c>
      <c r="BK132" s="18" t="s">
        <v>1933</v>
      </c>
      <c r="BL132" s="18" t="s">
        <v>1459</v>
      </c>
      <c r="BM132" s="95"/>
      <c r="BO132" s="137" t="s">
        <v>1583</v>
      </c>
    </row>
    <row r="133" spans="1:88" ht="31.2">
      <c r="A133" s="23" t="b">
        <v>0</v>
      </c>
      <c r="B133" s="57"/>
      <c r="C133" s="57"/>
      <c r="D133" s="23" t="b">
        <v>0</v>
      </c>
      <c r="E133" s="23" t="b">
        <v>0</v>
      </c>
      <c r="F133" s="31" t="s">
        <v>1939</v>
      </c>
      <c r="G133" s="18" t="s">
        <v>1940</v>
      </c>
      <c r="J133" s="47" t="s">
        <v>1938</v>
      </c>
      <c r="K133" s="47" t="s">
        <v>1924</v>
      </c>
      <c r="L133" s="24" t="s">
        <v>267</v>
      </c>
      <c r="M133" s="24"/>
      <c r="N133" s="24"/>
      <c r="O133" s="24" t="s">
        <v>304</v>
      </c>
      <c r="P133" s="24"/>
      <c r="Q133" s="24">
        <v>2050</v>
      </c>
      <c r="R133" s="24" t="s">
        <v>456</v>
      </c>
      <c r="S133" s="24" t="s">
        <v>475</v>
      </c>
      <c r="U133" s="189">
        <v>9</v>
      </c>
      <c r="V133" s="24" t="str">
        <f t="shared" si="8"/>
        <v>Mature</v>
      </c>
      <c r="X133" s="23" t="b">
        <v>0</v>
      </c>
      <c r="Y133" s="24">
        <v>4</v>
      </c>
      <c r="AA133" s="24" t="s">
        <v>1925</v>
      </c>
      <c r="AB133" s="24" t="s">
        <v>358</v>
      </c>
      <c r="AE133" s="184" t="s">
        <v>1926</v>
      </c>
      <c r="AF133" s="24" t="s">
        <v>1485</v>
      </c>
      <c r="AG133" s="24" t="s">
        <v>431</v>
      </c>
      <c r="AH133" s="24" t="s">
        <v>431</v>
      </c>
      <c r="AI133" s="24" t="s">
        <v>431</v>
      </c>
      <c r="AJ133" s="184">
        <v>4</v>
      </c>
      <c r="AK133" s="184">
        <v>4</v>
      </c>
      <c r="AL133" s="24" t="s">
        <v>1351</v>
      </c>
      <c r="AO133" s="165" t="s">
        <v>264</v>
      </c>
      <c r="AP133" s="24">
        <v>500</v>
      </c>
      <c r="AQ133" s="24">
        <v>500</v>
      </c>
      <c r="AR133" s="24">
        <v>20</v>
      </c>
      <c r="AS133" s="24">
        <v>0</v>
      </c>
      <c r="AT133" s="228">
        <v>800</v>
      </c>
      <c r="AU133" s="24">
        <v>0</v>
      </c>
      <c r="AV133" s="111">
        <f t="shared" si="16"/>
        <v>1.5</v>
      </c>
      <c r="AW133" s="24">
        <v>12</v>
      </c>
      <c r="AX133" s="229">
        <v>0</v>
      </c>
      <c r="AZ133" s="23" t="b">
        <v>0</v>
      </c>
      <c r="BA133" s="24"/>
      <c r="BB133" s="349" t="s">
        <v>1581</v>
      </c>
      <c r="BC133" s="349" t="s">
        <v>1081</v>
      </c>
      <c r="BD133" s="350">
        <v>18.382648499999998</v>
      </c>
      <c r="BE133" s="349" t="s">
        <v>1077</v>
      </c>
      <c r="BF133" s="143" t="s">
        <v>264</v>
      </c>
      <c r="BG133" s="143" t="s">
        <v>264</v>
      </c>
      <c r="BH133" s="143" t="s">
        <v>264</v>
      </c>
      <c r="BI133" s="143" t="s">
        <v>264</v>
      </c>
      <c r="BJ133" s="143" t="s">
        <v>264</v>
      </c>
      <c r="BK133" s="18" t="s">
        <v>1927</v>
      </c>
      <c r="BL133" s="18" t="s">
        <v>1459</v>
      </c>
      <c r="BM133" s="95"/>
      <c r="BO133" s="137" t="s">
        <v>1583</v>
      </c>
    </row>
    <row r="134" spans="1:88" ht="31.2">
      <c r="A134" s="23" t="b">
        <v>0</v>
      </c>
      <c r="B134" s="57" t="s">
        <v>1941</v>
      </c>
      <c r="C134" s="57" t="s">
        <v>1469</v>
      </c>
      <c r="D134" s="23" t="b">
        <v>0</v>
      </c>
      <c r="E134" s="23" t="b">
        <v>0</v>
      </c>
      <c r="F134" s="31" t="s">
        <v>1942</v>
      </c>
      <c r="G134" s="18" t="s">
        <v>1943</v>
      </c>
      <c r="J134" s="47" t="s">
        <v>1944</v>
      </c>
      <c r="K134" s="47" t="s">
        <v>918</v>
      </c>
      <c r="L134" s="24" t="s">
        <v>255</v>
      </c>
      <c r="M134" s="24" t="s">
        <v>283</v>
      </c>
      <c r="N134" s="24" t="s">
        <v>262</v>
      </c>
      <c r="O134" s="24" t="s">
        <v>304</v>
      </c>
      <c r="P134" s="24"/>
      <c r="Q134" s="24">
        <v>2030</v>
      </c>
      <c r="R134" s="24" t="s">
        <v>456</v>
      </c>
      <c r="S134" s="24" t="s">
        <v>475</v>
      </c>
      <c r="T134" s="24">
        <v>2025</v>
      </c>
      <c r="U134" s="189">
        <v>4</v>
      </c>
      <c r="V134" s="24" t="str">
        <f t="shared" si="8"/>
        <v>Prototype</v>
      </c>
      <c r="X134" s="23" t="b">
        <v>0</v>
      </c>
      <c r="AA134" s="24" t="s">
        <v>1945</v>
      </c>
      <c r="AB134" s="24" t="s">
        <v>555</v>
      </c>
      <c r="AE134" s="184">
        <v>1</v>
      </c>
      <c r="AF134" s="24" t="s">
        <v>1351</v>
      </c>
      <c r="AG134" s="24" t="s">
        <v>1946</v>
      </c>
      <c r="AH134" s="24" t="s">
        <v>1946</v>
      </c>
      <c r="AI134" s="18" t="s">
        <v>378</v>
      </c>
      <c r="AJ134" s="184" t="s">
        <v>1947</v>
      </c>
      <c r="AK134" s="184" t="s">
        <v>1947</v>
      </c>
      <c r="AL134" s="24" t="s">
        <v>1485</v>
      </c>
      <c r="AO134" s="165">
        <v>0.60199999999999998</v>
      </c>
      <c r="AP134" s="24"/>
      <c r="AQ134" s="24"/>
      <c r="AR134" s="24">
        <v>25</v>
      </c>
      <c r="AS134" s="24"/>
      <c r="AT134" s="167">
        <v>640</v>
      </c>
      <c r="AU134" s="24"/>
      <c r="AV134" s="24"/>
      <c r="AW134" s="24"/>
      <c r="AX134" s="175">
        <v>13</v>
      </c>
      <c r="AZ134" s="23" t="b">
        <v>0</v>
      </c>
      <c r="BA134" s="24"/>
      <c r="BB134" s="349"/>
      <c r="BC134" s="349"/>
      <c r="BD134" s="350"/>
      <c r="BE134" s="349"/>
      <c r="BF134" s="18" t="s">
        <v>264</v>
      </c>
      <c r="BG134" s="18" t="s">
        <v>264</v>
      </c>
      <c r="BK134" s="114" t="s">
        <v>1948</v>
      </c>
      <c r="BL134" s="18" t="s">
        <v>1459</v>
      </c>
      <c r="BM134" s="95" t="s">
        <v>1949</v>
      </c>
      <c r="BO134" s="137" t="s">
        <v>1464</v>
      </c>
    </row>
    <row r="135" spans="1:88" ht="31.2">
      <c r="A135" s="23" t="b">
        <v>1</v>
      </c>
      <c r="B135" s="57" t="s">
        <v>1336</v>
      </c>
      <c r="C135" s="57"/>
      <c r="D135" s="23" t="b">
        <v>0</v>
      </c>
      <c r="E135" s="23" t="b">
        <v>0</v>
      </c>
      <c r="F135" s="31" t="s">
        <v>1950</v>
      </c>
      <c r="G135" s="18" t="s">
        <v>1951</v>
      </c>
      <c r="I135" s="18" t="s">
        <v>249</v>
      </c>
      <c r="J135" s="47" t="s">
        <v>546</v>
      </c>
      <c r="K135" t="s">
        <v>846</v>
      </c>
      <c r="L135" s="24" t="s">
        <v>258</v>
      </c>
      <c r="M135" s="24" t="s">
        <v>285</v>
      </c>
      <c r="N135" s="24" t="s">
        <v>267</v>
      </c>
      <c r="O135" s="24" t="s">
        <v>304</v>
      </c>
      <c r="P135" s="24"/>
      <c r="Q135" s="24">
        <v>2020</v>
      </c>
      <c r="R135" s="24" t="s">
        <v>456</v>
      </c>
      <c r="S135" s="24" t="s">
        <v>475</v>
      </c>
      <c r="U135" s="189">
        <v>9</v>
      </c>
      <c r="V135" s="24" t="str">
        <f t="shared" ref="V135:V193" si="17">IF(U135="", "", IF(VALUE(LEFT(U135, 1))&gt;=9, "Mature", IF(VALUE(LEFT(U135, 1))&gt;=7, "Emerging", "Prototype")))</f>
        <v>Mature</v>
      </c>
      <c r="X135" s="23" t="b">
        <v>0</v>
      </c>
      <c r="Y135" s="24">
        <v>0.2</v>
      </c>
      <c r="AA135" s="24" t="s">
        <v>413</v>
      </c>
      <c r="AB135" s="18" t="s">
        <v>413</v>
      </c>
      <c r="AE135" s="184">
        <v>1</v>
      </c>
      <c r="AF135" s="24" t="s">
        <v>1351</v>
      </c>
      <c r="AG135" s="24" t="s">
        <v>1952</v>
      </c>
      <c r="AH135" s="24" t="s">
        <v>1953</v>
      </c>
      <c r="AI135" s="18" t="s">
        <v>346</v>
      </c>
      <c r="AJ135" s="184" t="s">
        <v>1954</v>
      </c>
      <c r="AK135" s="184" t="s">
        <v>1955</v>
      </c>
      <c r="AL135" s="18" t="s">
        <v>1485</v>
      </c>
      <c r="AO135" s="194" t="s">
        <v>264</v>
      </c>
      <c r="AP135" s="24">
        <v>0</v>
      </c>
      <c r="AQ135" s="24">
        <v>0</v>
      </c>
      <c r="AR135" s="24">
        <v>40</v>
      </c>
      <c r="AS135" s="24">
        <v>0</v>
      </c>
      <c r="AT135" s="166">
        <v>4600</v>
      </c>
      <c r="AU135" s="24">
        <v>0</v>
      </c>
      <c r="AV135" s="111">
        <f t="shared" ref="AV135:AV145" si="18">+AW135/AT135%</f>
        <v>2.0869565217391304</v>
      </c>
      <c r="AW135" s="24">
        <v>96</v>
      </c>
      <c r="AX135" s="177">
        <v>0</v>
      </c>
      <c r="AZ135" s="23" t="b">
        <v>0</v>
      </c>
      <c r="BA135" s="24" t="s">
        <v>1533</v>
      </c>
      <c r="BB135" s="349" t="s">
        <v>1956</v>
      </c>
      <c r="BC135" s="349" t="s">
        <v>1081</v>
      </c>
      <c r="BD135" s="350">
        <v>1635.9654298999999</v>
      </c>
      <c r="BE135" s="349" t="s">
        <v>1074</v>
      </c>
      <c r="BF135" s="143" t="s">
        <v>1957</v>
      </c>
      <c r="BG135" s="143" t="s">
        <v>1958</v>
      </c>
      <c r="BH135" s="143" t="s">
        <v>264</v>
      </c>
      <c r="BI135" s="143" t="s">
        <v>264</v>
      </c>
      <c r="BJ135" s="143" t="s">
        <v>264</v>
      </c>
      <c r="BK135" s="18" t="s">
        <v>1542</v>
      </c>
      <c r="BL135" s="18" t="s">
        <v>1459</v>
      </c>
      <c r="BM135" s="95"/>
      <c r="BO135" s="115" t="s">
        <v>1629</v>
      </c>
    </row>
    <row r="136" spans="1:88" ht="31.2">
      <c r="A136" s="23" t="b">
        <v>1</v>
      </c>
      <c r="B136" s="57" t="s">
        <v>1336</v>
      </c>
      <c r="C136" s="57"/>
      <c r="D136" s="23" t="b">
        <v>0</v>
      </c>
      <c r="E136" s="23" t="b">
        <v>0</v>
      </c>
      <c r="F136" s="31" t="s">
        <v>1959</v>
      </c>
      <c r="G136" s="18" t="s">
        <v>1951</v>
      </c>
      <c r="I136" s="18" t="s">
        <v>249</v>
      </c>
      <c r="J136" s="47" t="s">
        <v>546</v>
      </c>
      <c r="K136" t="s">
        <v>846</v>
      </c>
      <c r="L136" s="24" t="s">
        <v>258</v>
      </c>
      <c r="M136" s="24" t="s">
        <v>285</v>
      </c>
      <c r="N136" s="24" t="s">
        <v>267</v>
      </c>
      <c r="O136" s="24" t="s">
        <v>304</v>
      </c>
      <c r="P136" s="24"/>
      <c r="Q136" s="24">
        <v>2050</v>
      </c>
      <c r="R136" s="24" t="s">
        <v>456</v>
      </c>
      <c r="S136" s="24" t="s">
        <v>475</v>
      </c>
      <c r="U136" s="189">
        <v>9</v>
      </c>
      <c r="V136" s="24" t="str">
        <f t="shared" si="17"/>
        <v>Mature</v>
      </c>
      <c r="X136" s="23" t="b">
        <v>0</v>
      </c>
      <c r="Y136" s="24">
        <v>0.2</v>
      </c>
      <c r="AA136" s="24" t="s">
        <v>413</v>
      </c>
      <c r="AB136" s="18" t="s">
        <v>413</v>
      </c>
      <c r="AE136" s="184">
        <v>1</v>
      </c>
      <c r="AF136" s="24" t="s">
        <v>1351</v>
      </c>
      <c r="AG136" s="24" t="s">
        <v>1952</v>
      </c>
      <c r="AH136" s="24" t="s">
        <v>1953</v>
      </c>
      <c r="AI136" s="18" t="s">
        <v>346</v>
      </c>
      <c r="AJ136" s="184" t="s">
        <v>1954</v>
      </c>
      <c r="AK136" s="184" t="s">
        <v>1955</v>
      </c>
      <c r="AL136" s="18" t="s">
        <v>1485</v>
      </c>
      <c r="AO136" s="194" t="s">
        <v>264</v>
      </c>
      <c r="AP136" s="24">
        <v>0</v>
      </c>
      <c r="AQ136" s="24">
        <v>0</v>
      </c>
      <c r="AR136" s="24">
        <v>40</v>
      </c>
      <c r="AS136" s="24">
        <v>0</v>
      </c>
      <c r="AT136" s="166">
        <v>4600</v>
      </c>
      <c r="AU136" s="24">
        <v>0</v>
      </c>
      <c r="AV136" s="111">
        <f t="shared" si="18"/>
        <v>2.0869565217391304</v>
      </c>
      <c r="AW136" s="24">
        <v>96</v>
      </c>
      <c r="AX136" s="177">
        <v>0</v>
      </c>
      <c r="AZ136" s="23" t="b">
        <v>0</v>
      </c>
      <c r="BA136" s="24" t="s">
        <v>1533</v>
      </c>
      <c r="BB136" s="349" t="s">
        <v>1956</v>
      </c>
      <c r="BC136" s="349" t="s">
        <v>1081</v>
      </c>
      <c r="BD136" s="350">
        <v>932.7111721</v>
      </c>
      <c r="BE136" s="349" t="s">
        <v>1077</v>
      </c>
      <c r="BF136" s="143" t="s">
        <v>1957</v>
      </c>
      <c r="BG136" s="143" t="s">
        <v>1958</v>
      </c>
      <c r="BH136" s="143" t="s">
        <v>264</v>
      </c>
      <c r="BI136" s="143" t="s">
        <v>264</v>
      </c>
      <c r="BJ136" s="143" t="s">
        <v>264</v>
      </c>
      <c r="BK136" s="18" t="s">
        <v>1542</v>
      </c>
      <c r="BL136" s="18" t="s">
        <v>1459</v>
      </c>
      <c r="BM136" s="95"/>
      <c r="BO136" s="115" t="s">
        <v>1629</v>
      </c>
    </row>
    <row r="137" spans="1:88" ht="31.2">
      <c r="A137" s="23" t="b">
        <v>1</v>
      </c>
      <c r="B137" s="57" t="s">
        <v>1336</v>
      </c>
      <c r="C137" s="57"/>
      <c r="D137" s="23" t="b">
        <v>0</v>
      </c>
      <c r="E137" s="23" t="b">
        <v>0</v>
      </c>
      <c r="F137" s="31" t="s">
        <v>1960</v>
      </c>
      <c r="G137" s="18" t="s">
        <v>1961</v>
      </c>
      <c r="I137" s="18" t="s">
        <v>249</v>
      </c>
      <c r="J137" s="47" t="s">
        <v>546</v>
      </c>
      <c r="K137" t="s">
        <v>846</v>
      </c>
      <c r="L137" s="24" t="s">
        <v>258</v>
      </c>
      <c r="M137" s="24" t="s">
        <v>285</v>
      </c>
      <c r="N137" s="24" t="s">
        <v>267</v>
      </c>
      <c r="O137" s="24" t="s">
        <v>304</v>
      </c>
      <c r="P137" s="24"/>
      <c r="Q137" s="24">
        <v>2030</v>
      </c>
      <c r="R137" s="24" t="s">
        <v>456</v>
      </c>
      <c r="S137" s="24" t="s">
        <v>475</v>
      </c>
      <c r="U137" s="189">
        <v>9</v>
      </c>
      <c r="V137" s="24" t="str">
        <f t="shared" si="17"/>
        <v>Mature</v>
      </c>
      <c r="X137" s="23" t="b">
        <v>0</v>
      </c>
      <c r="Y137" s="24">
        <v>0.2</v>
      </c>
      <c r="AA137" s="24" t="s">
        <v>413</v>
      </c>
      <c r="AB137" s="18" t="s">
        <v>413</v>
      </c>
      <c r="AE137" s="184">
        <v>1</v>
      </c>
      <c r="AF137" s="24" t="s">
        <v>1351</v>
      </c>
      <c r="AG137" s="24" t="s">
        <v>1952</v>
      </c>
      <c r="AH137" s="24" t="s">
        <v>1953</v>
      </c>
      <c r="AI137" s="18" t="s">
        <v>346</v>
      </c>
      <c r="AJ137" s="184" t="s">
        <v>1954</v>
      </c>
      <c r="AK137" s="184" t="s">
        <v>1955</v>
      </c>
      <c r="AL137" s="18" t="s">
        <v>1485</v>
      </c>
      <c r="AO137" s="194" t="s">
        <v>264</v>
      </c>
      <c r="AP137" s="24">
        <v>0</v>
      </c>
      <c r="AQ137" s="24">
        <v>0</v>
      </c>
      <c r="AR137" s="24">
        <v>40</v>
      </c>
      <c r="AS137" s="24">
        <v>0</v>
      </c>
      <c r="AT137" s="166">
        <v>4600</v>
      </c>
      <c r="AU137" s="24">
        <v>0</v>
      </c>
      <c r="AV137" s="111">
        <f t="shared" si="18"/>
        <v>2.0869565217391304</v>
      </c>
      <c r="AW137" s="24">
        <v>96</v>
      </c>
      <c r="AX137" s="177">
        <v>0</v>
      </c>
      <c r="AZ137" s="23" t="b">
        <v>0</v>
      </c>
      <c r="BA137" s="24" t="s">
        <v>1533</v>
      </c>
      <c r="BB137" s="349" t="s">
        <v>1956</v>
      </c>
      <c r="BC137" s="349" t="s">
        <v>1081</v>
      </c>
      <c r="BD137" s="350">
        <v>1499.4500974</v>
      </c>
      <c r="BE137" s="349" t="s">
        <v>1075</v>
      </c>
      <c r="BF137" s="143" t="s">
        <v>1957</v>
      </c>
      <c r="BG137" s="143" t="s">
        <v>1958</v>
      </c>
      <c r="BH137" s="143" t="s">
        <v>264</v>
      </c>
      <c r="BI137" s="143" t="s">
        <v>264</v>
      </c>
      <c r="BJ137" s="143" t="s">
        <v>264</v>
      </c>
      <c r="BK137" s="18" t="s">
        <v>1962</v>
      </c>
      <c r="BL137" s="18" t="s">
        <v>1459</v>
      </c>
      <c r="BM137" s="95"/>
      <c r="BO137" s="115" t="s">
        <v>1629</v>
      </c>
    </row>
    <row r="138" spans="1:88" ht="31.2">
      <c r="A138" s="23" t="b">
        <v>1</v>
      </c>
      <c r="B138" s="57" t="s">
        <v>1336</v>
      </c>
      <c r="C138" s="57"/>
      <c r="D138" s="23" t="b">
        <v>0</v>
      </c>
      <c r="E138" s="23" t="b">
        <v>0</v>
      </c>
      <c r="F138" s="31" t="s">
        <v>1963</v>
      </c>
      <c r="G138" s="18" t="s">
        <v>1964</v>
      </c>
      <c r="I138" s="18" t="s">
        <v>249</v>
      </c>
      <c r="J138" s="47" t="s">
        <v>546</v>
      </c>
      <c r="K138" t="s">
        <v>846</v>
      </c>
      <c r="L138" s="24" t="s">
        <v>258</v>
      </c>
      <c r="M138" s="24" t="s">
        <v>285</v>
      </c>
      <c r="N138" s="24" t="s">
        <v>267</v>
      </c>
      <c r="O138" s="24" t="s">
        <v>304</v>
      </c>
      <c r="P138" s="24"/>
      <c r="Q138" s="24">
        <v>2040</v>
      </c>
      <c r="R138" s="24" t="s">
        <v>456</v>
      </c>
      <c r="S138" s="24" t="s">
        <v>475</v>
      </c>
      <c r="U138" s="189">
        <v>9</v>
      </c>
      <c r="V138" s="24" t="str">
        <f t="shared" si="17"/>
        <v>Mature</v>
      </c>
      <c r="X138" s="23" t="b">
        <v>0</v>
      </c>
      <c r="Y138" s="24">
        <v>0.2</v>
      </c>
      <c r="AA138" s="24" t="s">
        <v>413</v>
      </c>
      <c r="AB138" s="18" t="s">
        <v>413</v>
      </c>
      <c r="AE138" s="184">
        <v>1</v>
      </c>
      <c r="AF138" s="24" t="s">
        <v>1351</v>
      </c>
      <c r="AG138" s="24" t="s">
        <v>1952</v>
      </c>
      <c r="AH138" s="24" t="s">
        <v>1953</v>
      </c>
      <c r="AI138" s="18" t="s">
        <v>346</v>
      </c>
      <c r="AJ138" s="184" t="s">
        <v>1954</v>
      </c>
      <c r="AK138" s="184" t="s">
        <v>1955</v>
      </c>
      <c r="AL138" s="18" t="s">
        <v>1485</v>
      </c>
      <c r="AO138" s="194" t="s">
        <v>264</v>
      </c>
      <c r="AP138" s="24">
        <v>0</v>
      </c>
      <c r="AQ138" s="24">
        <v>0</v>
      </c>
      <c r="AR138" s="24">
        <v>40</v>
      </c>
      <c r="AS138" s="24">
        <v>0</v>
      </c>
      <c r="AT138" s="166">
        <v>4600</v>
      </c>
      <c r="AU138" s="24">
        <v>0</v>
      </c>
      <c r="AV138" s="111">
        <f t="shared" si="18"/>
        <v>2.0869565217391304</v>
      </c>
      <c r="AW138" s="24">
        <v>96</v>
      </c>
      <c r="AX138" s="177">
        <v>0</v>
      </c>
      <c r="AZ138" s="23" t="b">
        <v>0</v>
      </c>
      <c r="BA138" s="24" t="s">
        <v>1533</v>
      </c>
      <c r="BB138" s="349" t="s">
        <v>1956</v>
      </c>
      <c r="BC138" s="349" t="s">
        <v>1081</v>
      </c>
      <c r="BD138" s="350">
        <v>1216.4336012000001</v>
      </c>
      <c r="BE138" s="349" t="s">
        <v>1076</v>
      </c>
      <c r="BF138" s="143" t="s">
        <v>1957</v>
      </c>
      <c r="BG138" s="143" t="s">
        <v>1958</v>
      </c>
      <c r="BH138" s="143" t="s">
        <v>264</v>
      </c>
      <c r="BI138" s="143" t="s">
        <v>264</v>
      </c>
      <c r="BJ138" s="143" t="s">
        <v>264</v>
      </c>
      <c r="BK138" s="18" t="s">
        <v>1962</v>
      </c>
      <c r="BL138" s="18" t="s">
        <v>1459</v>
      </c>
      <c r="BM138" s="95"/>
      <c r="BO138" s="115" t="s">
        <v>1629</v>
      </c>
    </row>
    <row r="139" spans="1:88" s="114" customFormat="1">
      <c r="A139" s="23" t="b">
        <v>0</v>
      </c>
      <c r="B139" s="57"/>
      <c r="C139" s="57"/>
      <c r="D139" s="23" t="b">
        <v>0</v>
      </c>
      <c r="E139" s="23" t="b">
        <v>0</v>
      </c>
      <c r="F139" s="31" t="s">
        <v>1965</v>
      </c>
      <c r="G139" s="18" t="s">
        <v>1966</v>
      </c>
      <c r="H139" s="31"/>
      <c r="I139" s="18" t="s">
        <v>239</v>
      </c>
      <c r="J139" s="47" t="s">
        <v>606</v>
      </c>
      <c r="K139" s="47" t="s">
        <v>591</v>
      </c>
      <c r="L139" s="24" t="s">
        <v>267</v>
      </c>
      <c r="M139" s="24" t="s">
        <v>269</v>
      </c>
      <c r="N139" s="24" t="s">
        <v>296</v>
      </c>
      <c r="O139" s="24" t="s">
        <v>304</v>
      </c>
      <c r="P139" s="24"/>
      <c r="Q139" s="24">
        <v>2020</v>
      </c>
      <c r="R139" s="24" t="s">
        <v>456</v>
      </c>
      <c r="S139" s="24" t="s">
        <v>475</v>
      </c>
      <c r="T139" s="24"/>
      <c r="U139" s="189">
        <v>9</v>
      </c>
      <c r="V139" s="24" t="str">
        <f t="shared" si="17"/>
        <v>Mature</v>
      </c>
      <c r="W139" s="24"/>
      <c r="X139" s="23" t="b">
        <v>0</v>
      </c>
      <c r="Y139" s="24">
        <v>0.87</v>
      </c>
      <c r="Z139" s="24"/>
      <c r="AA139" s="24" t="s">
        <v>372</v>
      </c>
      <c r="AB139" s="24" t="s">
        <v>264</v>
      </c>
      <c r="AC139" s="184"/>
      <c r="AD139" s="24"/>
      <c r="AE139" s="184">
        <v>1</v>
      </c>
      <c r="AF139" s="24" t="s">
        <v>1351</v>
      </c>
      <c r="AG139" s="24" t="s">
        <v>420</v>
      </c>
      <c r="AH139" s="24" t="s">
        <v>420</v>
      </c>
      <c r="AI139" s="24" t="s">
        <v>420</v>
      </c>
      <c r="AJ139" s="184">
        <v>0.87</v>
      </c>
      <c r="AK139" s="184">
        <v>0.87</v>
      </c>
      <c r="AL139" s="24" t="s">
        <v>1351</v>
      </c>
      <c r="AM139" s="184"/>
      <c r="AN139" s="18"/>
      <c r="AO139" s="165" t="s">
        <v>264</v>
      </c>
      <c r="AP139" s="24">
        <v>0</v>
      </c>
      <c r="AQ139" s="24">
        <v>0</v>
      </c>
      <c r="AR139" s="24">
        <v>20</v>
      </c>
      <c r="AS139" s="24">
        <v>0</v>
      </c>
      <c r="AT139" s="171">
        <v>2500</v>
      </c>
      <c r="AU139" s="24">
        <v>0</v>
      </c>
      <c r="AV139" s="111">
        <f t="shared" si="18"/>
        <v>6</v>
      </c>
      <c r="AW139" s="24">
        <v>150</v>
      </c>
      <c r="AX139" s="177">
        <v>1E-3</v>
      </c>
      <c r="AY139" s="18"/>
      <c r="AZ139" s="23" t="b">
        <v>0</v>
      </c>
      <c r="BA139" s="24" t="s">
        <v>1533</v>
      </c>
      <c r="BB139" s="349" t="s">
        <v>1581</v>
      </c>
      <c r="BC139" s="349" t="s">
        <v>1081</v>
      </c>
      <c r="BD139" s="350">
        <v>45.141525299999998</v>
      </c>
      <c r="BE139" s="349" t="s">
        <v>1074</v>
      </c>
      <c r="BF139" s="143" t="s">
        <v>264</v>
      </c>
      <c r="BG139" s="143" t="s">
        <v>264</v>
      </c>
      <c r="BH139" s="143" t="s">
        <v>264</v>
      </c>
      <c r="BI139" s="143" t="s">
        <v>264</v>
      </c>
      <c r="BJ139" s="143" t="s">
        <v>264</v>
      </c>
      <c r="BK139" s="18" t="s">
        <v>1591</v>
      </c>
      <c r="BL139" s="18" t="s">
        <v>1459</v>
      </c>
      <c r="BM139" s="95"/>
      <c r="BN139" s="18"/>
      <c r="BO139" s="116" t="s">
        <v>1535</v>
      </c>
      <c r="CC139" s="18"/>
      <c r="CD139" s="18"/>
      <c r="CE139" s="18"/>
      <c r="CI139" s="18"/>
      <c r="CJ139" s="18"/>
    </row>
    <row r="140" spans="1:88" s="114" customFormat="1">
      <c r="A140" s="23" t="b">
        <v>0</v>
      </c>
      <c r="B140" s="57"/>
      <c r="C140" s="57"/>
      <c r="D140" s="23" t="b">
        <v>0</v>
      </c>
      <c r="E140" s="23" t="b">
        <v>0</v>
      </c>
      <c r="F140" s="31" t="s">
        <v>1967</v>
      </c>
      <c r="G140" s="18" t="s">
        <v>1968</v>
      </c>
      <c r="H140" s="31"/>
      <c r="I140" s="18" t="s">
        <v>239</v>
      </c>
      <c r="J140" s="47" t="s">
        <v>606</v>
      </c>
      <c r="K140" s="47" t="s">
        <v>591</v>
      </c>
      <c r="L140" s="24" t="s">
        <v>267</v>
      </c>
      <c r="M140" s="24" t="s">
        <v>269</v>
      </c>
      <c r="N140" s="24" t="s">
        <v>296</v>
      </c>
      <c r="O140" s="24" t="s">
        <v>304</v>
      </c>
      <c r="P140" s="24"/>
      <c r="Q140" s="24">
        <v>2050</v>
      </c>
      <c r="R140" s="24" t="s">
        <v>456</v>
      </c>
      <c r="S140" s="24" t="s">
        <v>475</v>
      </c>
      <c r="T140" s="24"/>
      <c r="U140" s="189">
        <v>9</v>
      </c>
      <c r="V140" s="24" t="str">
        <f t="shared" si="17"/>
        <v>Mature</v>
      </c>
      <c r="W140" s="24"/>
      <c r="X140" s="23" t="b">
        <v>0</v>
      </c>
      <c r="Y140" s="24">
        <v>0.87</v>
      </c>
      <c r="Z140" s="24"/>
      <c r="AA140" s="24" t="s">
        <v>372</v>
      </c>
      <c r="AB140" s="24" t="s">
        <v>264</v>
      </c>
      <c r="AC140" s="184"/>
      <c r="AD140" s="24"/>
      <c r="AE140" s="184">
        <v>1</v>
      </c>
      <c r="AF140" s="24" t="s">
        <v>1351</v>
      </c>
      <c r="AG140" s="24" t="s">
        <v>420</v>
      </c>
      <c r="AH140" s="24" t="s">
        <v>420</v>
      </c>
      <c r="AI140" s="24" t="s">
        <v>420</v>
      </c>
      <c r="AJ140" s="184">
        <v>0.87</v>
      </c>
      <c r="AK140" s="184">
        <v>0.87</v>
      </c>
      <c r="AL140" s="24" t="s">
        <v>1351</v>
      </c>
      <c r="AM140" s="184"/>
      <c r="AN140" s="18"/>
      <c r="AO140" s="165" t="s">
        <v>264</v>
      </c>
      <c r="AP140" s="24">
        <v>0</v>
      </c>
      <c r="AQ140" s="24">
        <v>0</v>
      </c>
      <c r="AR140" s="24">
        <v>20</v>
      </c>
      <c r="AS140" s="24">
        <v>0</v>
      </c>
      <c r="AT140" s="171">
        <v>2500</v>
      </c>
      <c r="AU140" s="24">
        <v>0</v>
      </c>
      <c r="AV140" s="111">
        <f t="shared" si="18"/>
        <v>6</v>
      </c>
      <c r="AW140" s="24">
        <v>150</v>
      </c>
      <c r="AX140" s="177">
        <v>1E-3</v>
      </c>
      <c r="AY140" s="18"/>
      <c r="AZ140" s="23" t="b">
        <v>0</v>
      </c>
      <c r="BA140" s="24" t="s">
        <v>1533</v>
      </c>
      <c r="BB140" s="349" t="s">
        <v>1581</v>
      </c>
      <c r="BC140" s="349" t="s">
        <v>1081</v>
      </c>
      <c r="BD140" s="350">
        <v>18.382648499999998</v>
      </c>
      <c r="BE140" s="349" t="s">
        <v>1077</v>
      </c>
      <c r="BF140" s="143" t="s">
        <v>264</v>
      </c>
      <c r="BG140" s="143" t="s">
        <v>264</v>
      </c>
      <c r="BH140" s="143" t="s">
        <v>264</v>
      </c>
      <c r="BI140" s="143" t="s">
        <v>264</v>
      </c>
      <c r="BJ140" s="143" t="s">
        <v>264</v>
      </c>
      <c r="BK140" s="18" t="s">
        <v>1588</v>
      </c>
      <c r="BL140" s="18" t="s">
        <v>1459</v>
      </c>
      <c r="BM140" s="95"/>
      <c r="BN140" s="18"/>
      <c r="BO140" s="116" t="s">
        <v>1535</v>
      </c>
      <c r="CC140" s="18"/>
      <c r="CD140" s="18"/>
      <c r="CE140" s="18"/>
      <c r="CI140" s="18"/>
      <c r="CJ140" s="18"/>
    </row>
    <row r="141" spans="1:88" s="114" customFormat="1" ht="31.2">
      <c r="A141" s="23" t="b">
        <v>0</v>
      </c>
      <c r="B141" s="57"/>
      <c r="C141" s="57"/>
      <c r="D141" s="23" t="b">
        <v>0</v>
      </c>
      <c r="E141" s="23" t="b">
        <v>0</v>
      </c>
      <c r="F141" s="31" t="s">
        <v>1969</v>
      </c>
      <c r="G141" s="18" t="s">
        <v>1970</v>
      </c>
      <c r="H141" s="31"/>
      <c r="I141" s="18" t="s">
        <v>239</v>
      </c>
      <c r="J141" s="47" t="s">
        <v>623</v>
      </c>
      <c r="K141" s="47" t="s">
        <v>1971</v>
      </c>
      <c r="L141" s="24" t="s">
        <v>267</v>
      </c>
      <c r="M141" s="24"/>
      <c r="N141" s="24"/>
      <c r="O141" s="24" t="s">
        <v>304</v>
      </c>
      <c r="P141" s="24"/>
      <c r="Q141" s="24">
        <v>2020</v>
      </c>
      <c r="R141" s="24" t="s">
        <v>456</v>
      </c>
      <c r="S141" s="24" t="s">
        <v>475</v>
      </c>
      <c r="T141" s="24"/>
      <c r="U141" s="189">
        <v>9</v>
      </c>
      <c r="V141" s="24" t="str">
        <f t="shared" si="17"/>
        <v>Mature</v>
      </c>
      <c r="W141" s="24"/>
      <c r="X141" s="23" t="b">
        <v>0</v>
      </c>
      <c r="Y141" s="24">
        <v>0.85</v>
      </c>
      <c r="Z141" s="24"/>
      <c r="AA141" s="24" t="s">
        <v>372</v>
      </c>
      <c r="AB141" s="24" t="s">
        <v>264</v>
      </c>
      <c r="AC141" s="184"/>
      <c r="AD141" s="24"/>
      <c r="AE141" s="184">
        <v>1</v>
      </c>
      <c r="AF141" s="24" t="s">
        <v>1351</v>
      </c>
      <c r="AG141" s="24" t="s">
        <v>437</v>
      </c>
      <c r="AH141" s="24" t="s">
        <v>437</v>
      </c>
      <c r="AI141" s="24" t="s">
        <v>437</v>
      </c>
      <c r="AJ141" s="184">
        <v>0.85</v>
      </c>
      <c r="AK141" s="184">
        <v>0.85</v>
      </c>
      <c r="AL141" s="24" t="s">
        <v>1351</v>
      </c>
      <c r="AM141" s="184"/>
      <c r="AN141" s="18"/>
      <c r="AO141" s="165" t="s">
        <v>264</v>
      </c>
      <c r="AP141" s="24">
        <v>0</v>
      </c>
      <c r="AQ141" s="24">
        <v>0</v>
      </c>
      <c r="AR141" s="24">
        <v>17</v>
      </c>
      <c r="AS141" s="24">
        <v>0</v>
      </c>
      <c r="AT141" s="171">
        <v>300</v>
      </c>
      <c r="AU141" s="24">
        <v>0</v>
      </c>
      <c r="AV141" s="111">
        <f t="shared" si="18"/>
        <v>3</v>
      </c>
      <c r="AW141" s="24">
        <v>9</v>
      </c>
      <c r="AX141" s="177">
        <v>1E-3</v>
      </c>
      <c r="AY141" s="18"/>
      <c r="AZ141" s="23" t="b">
        <v>0</v>
      </c>
      <c r="BA141" s="24" t="s">
        <v>1533</v>
      </c>
      <c r="BB141" s="349" t="s">
        <v>1581</v>
      </c>
      <c r="BC141" s="349" t="s">
        <v>1081</v>
      </c>
      <c r="BD141" s="350">
        <v>45.141525299999998</v>
      </c>
      <c r="BE141" s="349" t="s">
        <v>1074</v>
      </c>
      <c r="BF141" s="143" t="s">
        <v>264</v>
      </c>
      <c r="BG141" s="143" t="s">
        <v>264</v>
      </c>
      <c r="BH141" s="143" t="s">
        <v>264</v>
      </c>
      <c r="BI141" s="143" t="s">
        <v>264</v>
      </c>
      <c r="BJ141" s="143" t="s">
        <v>264</v>
      </c>
      <c r="BK141" s="18" t="s">
        <v>1595</v>
      </c>
      <c r="BL141" s="18" t="s">
        <v>1459</v>
      </c>
      <c r="BM141" s="95"/>
      <c r="BN141" s="18"/>
      <c r="BO141" s="116" t="s">
        <v>1535</v>
      </c>
      <c r="CC141" s="18"/>
      <c r="CD141" s="18"/>
      <c r="CE141" s="18"/>
      <c r="CI141" s="18"/>
      <c r="CJ141" s="18"/>
    </row>
    <row r="142" spans="1:88" s="114" customFormat="1" ht="31.2">
      <c r="A142" s="23" t="b">
        <v>0</v>
      </c>
      <c r="B142" s="57"/>
      <c r="C142" s="57"/>
      <c r="D142" s="23" t="b">
        <v>0</v>
      </c>
      <c r="E142" s="23" t="b">
        <v>0</v>
      </c>
      <c r="F142" s="31" t="s">
        <v>1972</v>
      </c>
      <c r="G142" s="18" t="s">
        <v>1973</v>
      </c>
      <c r="H142" s="31"/>
      <c r="I142" s="18" t="s">
        <v>239</v>
      </c>
      <c r="J142" s="47" t="s">
        <v>623</v>
      </c>
      <c r="K142" s="47" t="s">
        <v>1971</v>
      </c>
      <c r="L142" s="24" t="s">
        <v>267</v>
      </c>
      <c r="M142" s="24"/>
      <c r="N142" s="24"/>
      <c r="O142" s="24" t="s">
        <v>304</v>
      </c>
      <c r="P142" s="24"/>
      <c r="Q142" s="24">
        <v>2030</v>
      </c>
      <c r="R142" s="24" t="s">
        <v>456</v>
      </c>
      <c r="S142" s="24" t="s">
        <v>475</v>
      </c>
      <c r="T142" s="24"/>
      <c r="U142" s="189">
        <v>9</v>
      </c>
      <c r="V142" s="24" t="str">
        <f t="shared" si="17"/>
        <v>Mature</v>
      </c>
      <c r="W142" s="24"/>
      <c r="X142" s="23" t="b">
        <v>0</v>
      </c>
      <c r="Y142" s="24">
        <v>0.85</v>
      </c>
      <c r="Z142" s="24"/>
      <c r="AA142" s="24" t="s">
        <v>372</v>
      </c>
      <c r="AB142" s="24" t="s">
        <v>264</v>
      </c>
      <c r="AC142" s="184"/>
      <c r="AD142" s="24"/>
      <c r="AE142" s="184">
        <v>1</v>
      </c>
      <c r="AF142" s="24" t="s">
        <v>1351</v>
      </c>
      <c r="AG142" s="24" t="s">
        <v>437</v>
      </c>
      <c r="AH142" s="24" t="s">
        <v>437</v>
      </c>
      <c r="AI142" s="24" t="s">
        <v>437</v>
      </c>
      <c r="AJ142" s="184">
        <v>0.85</v>
      </c>
      <c r="AK142" s="184">
        <v>0.85</v>
      </c>
      <c r="AL142" s="24" t="s">
        <v>1351</v>
      </c>
      <c r="AM142" s="184"/>
      <c r="AN142" s="18"/>
      <c r="AO142" s="165" t="s">
        <v>264</v>
      </c>
      <c r="AP142" s="24">
        <v>0</v>
      </c>
      <c r="AQ142" s="24">
        <v>0</v>
      </c>
      <c r="AR142" s="24">
        <v>17</v>
      </c>
      <c r="AS142" s="24">
        <v>0</v>
      </c>
      <c r="AT142" s="171">
        <v>300</v>
      </c>
      <c r="AU142" s="24">
        <v>0</v>
      </c>
      <c r="AV142" s="111">
        <f t="shared" si="18"/>
        <v>3</v>
      </c>
      <c r="AW142" s="24">
        <v>9</v>
      </c>
      <c r="AX142" s="177">
        <v>1E-3</v>
      </c>
      <c r="AY142" s="18"/>
      <c r="AZ142" s="23" t="b">
        <v>0</v>
      </c>
      <c r="BA142" s="24" t="s">
        <v>1533</v>
      </c>
      <c r="BB142" s="349" t="s">
        <v>1581</v>
      </c>
      <c r="BC142" s="349" t="s">
        <v>1081</v>
      </c>
      <c r="BD142" s="350">
        <v>37.919542999999997</v>
      </c>
      <c r="BE142" s="349" t="s">
        <v>1075</v>
      </c>
      <c r="BF142" s="143" t="s">
        <v>264</v>
      </c>
      <c r="BG142" s="143" t="s">
        <v>264</v>
      </c>
      <c r="BH142" s="143" t="s">
        <v>264</v>
      </c>
      <c r="BI142" s="143" t="s">
        <v>264</v>
      </c>
      <c r="BJ142" s="143" t="s">
        <v>264</v>
      </c>
      <c r="BK142" s="18" t="s">
        <v>1974</v>
      </c>
      <c r="BL142" s="18" t="s">
        <v>1459</v>
      </c>
      <c r="BM142" s="95"/>
      <c r="BN142" s="18"/>
      <c r="BO142" s="116" t="s">
        <v>1535</v>
      </c>
      <c r="CC142" s="18"/>
      <c r="CD142" s="18"/>
      <c r="CE142" s="18"/>
      <c r="CI142" s="18"/>
      <c r="CJ142" s="18"/>
    </row>
    <row r="143" spans="1:88" s="114" customFormat="1" ht="15" customHeight="1">
      <c r="A143" s="23" t="b">
        <v>0</v>
      </c>
      <c r="B143" s="57"/>
      <c r="C143" s="57"/>
      <c r="D143" s="23" t="b">
        <v>0</v>
      </c>
      <c r="E143" s="23" t="b">
        <v>0</v>
      </c>
      <c r="F143" s="31" t="s">
        <v>1975</v>
      </c>
      <c r="G143" s="18" t="s">
        <v>1976</v>
      </c>
      <c r="H143" s="31"/>
      <c r="I143" s="18" t="s">
        <v>239</v>
      </c>
      <c r="J143" s="47" t="s">
        <v>623</v>
      </c>
      <c r="K143" s="47" t="s">
        <v>1971</v>
      </c>
      <c r="L143" s="24" t="s">
        <v>267</v>
      </c>
      <c r="M143" s="24"/>
      <c r="N143" s="24"/>
      <c r="O143" s="24" t="s">
        <v>304</v>
      </c>
      <c r="P143" s="24"/>
      <c r="Q143" s="24">
        <v>2040</v>
      </c>
      <c r="R143" s="24" t="s">
        <v>456</v>
      </c>
      <c r="S143" s="24" t="s">
        <v>475</v>
      </c>
      <c r="T143" s="24"/>
      <c r="U143" s="189">
        <v>9</v>
      </c>
      <c r="V143" s="24" t="str">
        <f t="shared" si="17"/>
        <v>Mature</v>
      </c>
      <c r="W143" s="24"/>
      <c r="X143" s="23" t="b">
        <v>0</v>
      </c>
      <c r="Y143" s="24">
        <v>0.85</v>
      </c>
      <c r="Z143" s="24"/>
      <c r="AA143" s="24" t="s">
        <v>372</v>
      </c>
      <c r="AB143" s="24" t="s">
        <v>264</v>
      </c>
      <c r="AC143" s="184"/>
      <c r="AD143" s="24"/>
      <c r="AE143" s="184">
        <v>1</v>
      </c>
      <c r="AF143" s="24" t="s">
        <v>1351</v>
      </c>
      <c r="AG143" s="24" t="s">
        <v>437</v>
      </c>
      <c r="AH143" s="24" t="s">
        <v>437</v>
      </c>
      <c r="AI143" s="24" t="s">
        <v>437</v>
      </c>
      <c r="AJ143" s="184">
        <v>0.85</v>
      </c>
      <c r="AK143" s="184">
        <v>0.85</v>
      </c>
      <c r="AL143" s="24" t="s">
        <v>1351</v>
      </c>
      <c r="AM143" s="184"/>
      <c r="AN143" s="18"/>
      <c r="AO143" s="165" t="s">
        <v>264</v>
      </c>
      <c r="AP143" s="24">
        <v>0</v>
      </c>
      <c r="AQ143" s="24">
        <v>0</v>
      </c>
      <c r="AR143" s="24">
        <v>17</v>
      </c>
      <c r="AS143" s="24">
        <v>0</v>
      </c>
      <c r="AT143" s="171">
        <v>300</v>
      </c>
      <c r="AU143" s="24">
        <v>0</v>
      </c>
      <c r="AV143" s="111">
        <f t="shared" si="18"/>
        <v>3</v>
      </c>
      <c r="AW143" s="24">
        <v>9</v>
      </c>
      <c r="AX143" s="177">
        <v>1E-3</v>
      </c>
      <c r="AY143" s="18"/>
      <c r="AZ143" s="23" t="b">
        <v>0</v>
      </c>
      <c r="BA143" s="24" t="s">
        <v>1533</v>
      </c>
      <c r="BB143" s="349" t="s">
        <v>1581</v>
      </c>
      <c r="BC143" s="349" t="s">
        <v>1081</v>
      </c>
      <c r="BD143" s="350">
        <v>25.2790286</v>
      </c>
      <c r="BE143" s="349" t="s">
        <v>1076</v>
      </c>
      <c r="BF143" s="143" t="s">
        <v>264</v>
      </c>
      <c r="BG143" s="143" t="s">
        <v>264</v>
      </c>
      <c r="BH143" s="143" t="s">
        <v>264</v>
      </c>
      <c r="BI143" s="143" t="s">
        <v>264</v>
      </c>
      <c r="BJ143" s="143" t="s">
        <v>264</v>
      </c>
      <c r="BK143" s="18" t="s">
        <v>1974</v>
      </c>
      <c r="BL143" s="18" t="s">
        <v>1459</v>
      </c>
      <c r="BM143" s="95"/>
      <c r="BN143" s="18"/>
      <c r="BO143" s="116" t="s">
        <v>1535</v>
      </c>
      <c r="CC143" s="18"/>
      <c r="CD143" s="18"/>
      <c r="CE143" s="18"/>
      <c r="CI143" s="18"/>
      <c r="CJ143" s="18"/>
    </row>
    <row r="144" spans="1:88" s="159" customFormat="1" ht="31.2">
      <c r="A144" s="23" t="b">
        <v>0</v>
      </c>
      <c r="B144" s="57"/>
      <c r="C144" s="57"/>
      <c r="D144" s="23" t="b">
        <v>0</v>
      </c>
      <c r="E144" s="23" t="b">
        <v>0</v>
      </c>
      <c r="F144" s="31" t="s">
        <v>1977</v>
      </c>
      <c r="G144" s="18" t="s">
        <v>1978</v>
      </c>
      <c r="H144" s="31"/>
      <c r="I144" s="18" t="s">
        <v>239</v>
      </c>
      <c r="J144" s="47" t="s">
        <v>623</v>
      </c>
      <c r="K144" s="47" t="s">
        <v>1971</v>
      </c>
      <c r="L144" s="24" t="s">
        <v>267</v>
      </c>
      <c r="M144" s="24"/>
      <c r="N144" s="24"/>
      <c r="O144" s="24" t="s">
        <v>304</v>
      </c>
      <c r="P144" s="24"/>
      <c r="Q144" s="24">
        <v>2050</v>
      </c>
      <c r="R144" s="24" t="s">
        <v>456</v>
      </c>
      <c r="S144" s="24" t="s">
        <v>475</v>
      </c>
      <c r="T144" s="24"/>
      <c r="U144" s="189">
        <v>9</v>
      </c>
      <c r="V144" s="24" t="str">
        <f t="shared" si="17"/>
        <v>Mature</v>
      </c>
      <c r="W144" s="24"/>
      <c r="X144" s="23" t="b">
        <v>0</v>
      </c>
      <c r="Y144" s="24">
        <v>0.85</v>
      </c>
      <c r="Z144" s="24"/>
      <c r="AA144" s="24" t="s">
        <v>372</v>
      </c>
      <c r="AB144" s="24" t="s">
        <v>264</v>
      </c>
      <c r="AC144" s="184"/>
      <c r="AD144" s="24"/>
      <c r="AE144" s="184">
        <v>1</v>
      </c>
      <c r="AF144" s="24" t="s">
        <v>1351</v>
      </c>
      <c r="AG144" s="24" t="s">
        <v>437</v>
      </c>
      <c r="AH144" s="24" t="s">
        <v>437</v>
      </c>
      <c r="AI144" s="24" t="s">
        <v>437</v>
      </c>
      <c r="AJ144" s="184">
        <v>0.85</v>
      </c>
      <c r="AK144" s="184">
        <v>0.85</v>
      </c>
      <c r="AL144" s="24" t="s">
        <v>1351</v>
      </c>
      <c r="AM144" s="184"/>
      <c r="AN144" s="18"/>
      <c r="AO144" s="165" t="s">
        <v>264</v>
      </c>
      <c r="AP144" s="24">
        <v>0</v>
      </c>
      <c r="AQ144" s="24">
        <v>0</v>
      </c>
      <c r="AR144" s="24">
        <v>17</v>
      </c>
      <c r="AS144" s="24">
        <v>0</v>
      </c>
      <c r="AT144" s="171">
        <v>300</v>
      </c>
      <c r="AU144" s="24">
        <v>0</v>
      </c>
      <c r="AV144" s="111">
        <f t="shared" si="18"/>
        <v>3</v>
      </c>
      <c r="AW144" s="24">
        <v>9</v>
      </c>
      <c r="AX144" s="177">
        <v>1E-3</v>
      </c>
      <c r="AY144" s="18"/>
      <c r="AZ144" s="23" t="b">
        <v>0</v>
      </c>
      <c r="BA144" s="24" t="s">
        <v>1533</v>
      </c>
      <c r="BB144" s="349" t="s">
        <v>1581</v>
      </c>
      <c r="BC144" s="349" t="s">
        <v>1081</v>
      </c>
      <c r="BD144" s="350">
        <v>18.382648499999998</v>
      </c>
      <c r="BE144" s="349" t="s">
        <v>1077</v>
      </c>
      <c r="BF144" s="143" t="s">
        <v>264</v>
      </c>
      <c r="BG144" s="143" t="s">
        <v>264</v>
      </c>
      <c r="BH144" s="143" t="s">
        <v>264</v>
      </c>
      <c r="BI144" s="143" t="s">
        <v>264</v>
      </c>
      <c r="BJ144" s="143" t="s">
        <v>264</v>
      </c>
      <c r="BK144" s="18" t="s">
        <v>1974</v>
      </c>
      <c r="BL144" s="18" t="s">
        <v>1459</v>
      </c>
      <c r="BM144" s="95"/>
      <c r="BN144" s="18"/>
      <c r="BO144" s="116" t="s">
        <v>1535</v>
      </c>
    </row>
    <row r="145" spans="1:77">
      <c r="A145" s="204" t="b">
        <v>1</v>
      </c>
      <c r="B145" s="150" t="s">
        <v>1335</v>
      </c>
      <c r="C145" s="150" t="s">
        <v>1336</v>
      </c>
      <c r="D145" s="204" t="b">
        <v>0</v>
      </c>
      <c r="E145" s="159"/>
      <c r="F145" s="206" t="s">
        <v>1348</v>
      </c>
      <c r="G145" s="159" t="s">
        <v>1979</v>
      </c>
      <c r="H145" s="159"/>
      <c r="I145" s="159" t="s">
        <v>1980</v>
      </c>
      <c r="J145" s="147" t="s">
        <v>1981</v>
      </c>
      <c r="K145" s="147" t="s">
        <v>1982</v>
      </c>
      <c r="L145" s="159"/>
      <c r="M145" s="147" t="s">
        <v>278</v>
      </c>
      <c r="N145" s="147" t="s">
        <v>297</v>
      </c>
      <c r="O145" s="147" t="s">
        <v>304</v>
      </c>
      <c r="P145" s="159"/>
      <c r="Q145" s="147">
        <v>2030</v>
      </c>
      <c r="R145" s="147" t="s">
        <v>456</v>
      </c>
      <c r="S145" s="147" t="s">
        <v>475</v>
      </c>
      <c r="T145" s="147">
        <v>2022</v>
      </c>
      <c r="U145" s="208">
        <v>9</v>
      </c>
      <c r="V145" s="150" t="str">
        <f t="shared" si="17"/>
        <v>Mature</v>
      </c>
      <c r="W145" s="147" t="s">
        <v>1350</v>
      </c>
      <c r="X145" s="204" t="b">
        <v>0</v>
      </c>
      <c r="Y145" s="147">
        <v>1</v>
      </c>
      <c r="Z145" s="150"/>
      <c r="AA145" s="147" t="s">
        <v>356</v>
      </c>
      <c r="AB145" s="147" t="s">
        <v>264</v>
      </c>
      <c r="AC145" s="209"/>
      <c r="AD145" s="150"/>
      <c r="AE145" s="248">
        <v>1</v>
      </c>
      <c r="AF145" s="150" t="s">
        <v>1351</v>
      </c>
      <c r="AG145" s="147" t="s">
        <v>346</v>
      </c>
      <c r="AH145" s="147" t="s">
        <v>346</v>
      </c>
      <c r="AI145" s="147" t="s">
        <v>346</v>
      </c>
      <c r="AJ145" s="248">
        <f t="shared" ref="AJ145:AK152" si="19">+Y145*AE145</f>
        <v>1</v>
      </c>
      <c r="AK145" s="248" t="e">
        <f t="shared" si="19"/>
        <v>#VALUE!</v>
      </c>
      <c r="AL145" s="147" t="s">
        <v>1351</v>
      </c>
      <c r="AM145" s="209"/>
      <c r="AN145" s="159"/>
      <c r="AO145" s="249"/>
      <c r="AP145" s="147">
        <v>0</v>
      </c>
      <c r="AQ145" s="147">
        <v>0</v>
      </c>
      <c r="AR145" s="147">
        <v>25</v>
      </c>
      <c r="AS145" s="147">
        <v>0</v>
      </c>
      <c r="AT145" s="250">
        <v>3031</v>
      </c>
      <c r="AU145" s="147">
        <v>0</v>
      </c>
      <c r="AV145" s="251">
        <f t="shared" si="18"/>
        <v>1.8475750577367207</v>
      </c>
      <c r="AW145" s="147">
        <v>56</v>
      </c>
      <c r="AX145" s="215">
        <v>0</v>
      </c>
      <c r="AY145" s="147"/>
      <c r="AZ145" s="204" t="b">
        <v>0</v>
      </c>
      <c r="BA145" s="147" t="s">
        <v>1533</v>
      </c>
      <c r="BB145" s="351" t="s">
        <v>1983</v>
      </c>
      <c r="BC145" s="351" t="s">
        <v>1081</v>
      </c>
      <c r="BD145" s="352">
        <v>992.59203720000005</v>
      </c>
      <c r="BE145" s="351" t="s">
        <v>1075</v>
      </c>
      <c r="BF145" s="159" t="s">
        <v>264</v>
      </c>
      <c r="BG145" s="159" t="s">
        <v>264</v>
      </c>
      <c r="BH145" s="159" t="s">
        <v>264</v>
      </c>
      <c r="BI145" s="159" t="s">
        <v>264</v>
      </c>
      <c r="BJ145" s="159" t="s">
        <v>264</v>
      </c>
      <c r="BK145" s="147" t="s">
        <v>1984</v>
      </c>
      <c r="BL145" s="159" t="s">
        <v>1512</v>
      </c>
      <c r="BM145" s="159"/>
      <c r="BN145" s="159"/>
      <c r="BO145" s="159"/>
    </row>
    <row r="146" spans="1:77">
      <c r="A146" s="204" t="b">
        <v>1</v>
      </c>
      <c r="B146" s="150" t="s">
        <v>1335</v>
      </c>
      <c r="C146" s="150" t="s">
        <v>1336</v>
      </c>
      <c r="D146" s="204" t="b">
        <v>0</v>
      </c>
      <c r="E146" s="159"/>
      <c r="F146" s="206" t="s">
        <v>1348</v>
      </c>
      <c r="G146" s="159" t="s">
        <v>1985</v>
      </c>
      <c r="H146" s="159"/>
      <c r="I146" s="159" t="s">
        <v>1980</v>
      </c>
      <c r="J146" s="147" t="s">
        <v>1349</v>
      </c>
      <c r="K146" s="147" t="s">
        <v>1982</v>
      </c>
      <c r="L146" s="159"/>
      <c r="M146" s="147" t="s">
        <v>278</v>
      </c>
      <c r="N146" s="147" t="s">
        <v>297</v>
      </c>
      <c r="O146" s="147" t="s">
        <v>304</v>
      </c>
      <c r="P146" s="159"/>
      <c r="Q146" s="147">
        <v>2030</v>
      </c>
      <c r="R146" s="147" t="s">
        <v>456</v>
      </c>
      <c r="S146" s="147" t="s">
        <v>475</v>
      </c>
      <c r="T146" s="147">
        <v>2022</v>
      </c>
      <c r="U146" s="208">
        <v>9</v>
      </c>
      <c r="V146" s="150" t="str">
        <f t="shared" si="17"/>
        <v>Mature</v>
      </c>
      <c r="W146" s="147" t="s">
        <v>1350</v>
      </c>
      <c r="X146" s="204" t="b">
        <v>0</v>
      </c>
      <c r="Y146" s="147">
        <v>1</v>
      </c>
      <c r="Z146" s="150"/>
      <c r="AA146" s="147" t="s">
        <v>356</v>
      </c>
      <c r="AB146" s="147" t="s">
        <v>264</v>
      </c>
      <c r="AC146" s="209"/>
      <c r="AD146" s="150"/>
      <c r="AE146" s="248">
        <v>1</v>
      </c>
      <c r="AF146" s="150" t="s">
        <v>1351</v>
      </c>
      <c r="AG146" s="147" t="s">
        <v>346</v>
      </c>
      <c r="AH146" s="147" t="s">
        <v>346</v>
      </c>
      <c r="AI146" s="147" t="s">
        <v>346</v>
      </c>
      <c r="AJ146" s="248">
        <f t="shared" si="19"/>
        <v>1</v>
      </c>
      <c r="AK146" s="248" t="e">
        <f t="shared" si="19"/>
        <v>#VALUE!</v>
      </c>
      <c r="AL146" s="147" t="s">
        <v>1351</v>
      </c>
      <c r="AM146" s="209"/>
      <c r="AN146" s="159"/>
      <c r="AO146" s="249"/>
      <c r="AP146" s="147">
        <v>0</v>
      </c>
      <c r="AQ146" s="147">
        <v>0</v>
      </c>
      <c r="AR146" s="147">
        <v>25</v>
      </c>
      <c r="AS146" s="147">
        <v>0</v>
      </c>
      <c r="AT146" s="250">
        <v>2300</v>
      </c>
      <c r="AU146" s="147">
        <v>0</v>
      </c>
      <c r="AV146" s="147">
        <v>2</v>
      </c>
      <c r="AW146" s="147">
        <v>46</v>
      </c>
      <c r="AX146" s="215">
        <v>0</v>
      </c>
      <c r="AY146" s="147"/>
      <c r="AZ146" s="204" t="b">
        <v>0</v>
      </c>
      <c r="BA146" s="147" t="s">
        <v>1533</v>
      </c>
      <c r="BB146" s="351" t="s">
        <v>1983</v>
      </c>
      <c r="BC146" s="351" t="s">
        <v>1081</v>
      </c>
      <c r="BD146" s="352">
        <v>992.59203720000005</v>
      </c>
      <c r="BE146" s="351" t="s">
        <v>1075</v>
      </c>
      <c r="BF146" s="159" t="s">
        <v>264</v>
      </c>
      <c r="BG146" s="159" t="s">
        <v>264</v>
      </c>
      <c r="BH146" s="159" t="s">
        <v>264</v>
      </c>
      <c r="BI146" s="159" t="s">
        <v>264</v>
      </c>
      <c r="BJ146" s="159" t="s">
        <v>264</v>
      </c>
      <c r="BK146" s="147" t="s">
        <v>1984</v>
      </c>
      <c r="BL146" s="159" t="s">
        <v>1512</v>
      </c>
      <c r="BM146" s="159"/>
      <c r="BN146" s="159"/>
      <c r="BO146" s="159"/>
    </row>
    <row r="147" spans="1:77">
      <c r="A147" s="204" t="b">
        <v>1</v>
      </c>
      <c r="B147" s="150" t="s">
        <v>1335</v>
      </c>
      <c r="C147" s="150" t="s">
        <v>1336</v>
      </c>
      <c r="D147" s="204" t="b">
        <v>0</v>
      </c>
      <c r="E147" s="159"/>
      <c r="F147" s="206" t="s">
        <v>1353</v>
      </c>
      <c r="G147" s="159" t="s">
        <v>1986</v>
      </c>
      <c r="H147" s="159"/>
      <c r="I147" s="159" t="s">
        <v>1980</v>
      </c>
      <c r="J147" s="147" t="s">
        <v>1987</v>
      </c>
      <c r="K147" s="147" t="s">
        <v>1982</v>
      </c>
      <c r="L147" s="159"/>
      <c r="M147" s="147" t="s">
        <v>278</v>
      </c>
      <c r="N147" s="147" t="s">
        <v>297</v>
      </c>
      <c r="O147" s="147" t="s">
        <v>304</v>
      </c>
      <c r="P147" s="159"/>
      <c r="Q147" s="147">
        <v>2040</v>
      </c>
      <c r="R147" s="147" t="s">
        <v>456</v>
      </c>
      <c r="S147" s="147" t="s">
        <v>475</v>
      </c>
      <c r="T147" s="147">
        <v>2022</v>
      </c>
      <c r="U147" s="208">
        <v>9</v>
      </c>
      <c r="V147" s="150" t="str">
        <f t="shared" si="17"/>
        <v>Mature</v>
      </c>
      <c r="W147" s="147" t="s">
        <v>1350</v>
      </c>
      <c r="X147" s="204" t="b">
        <v>0</v>
      </c>
      <c r="Y147" s="147">
        <v>1</v>
      </c>
      <c r="Z147" s="150"/>
      <c r="AA147" s="147" t="s">
        <v>356</v>
      </c>
      <c r="AB147" s="147" t="s">
        <v>264</v>
      </c>
      <c r="AC147" s="209"/>
      <c r="AD147" s="150"/>
      <c r="AE147" s="248">
        <v>1</v>
      </c>
      <c r="AF147" s="150" t="s">
        <v>1351</v>
      </c>
      <c r="AG147" s="147" t="s">
        <v>346</v>
      </c>
      <c r="AH147" s="147" t="s">
        <v>346</v>
      </c>
      <c r="AI147" s="147" t="s">
        <v>346</v>
      </c>
      <c r="AJ147" s="248">
        <f t="shared" si="19"/>
        <v>1</v>
      </c>
      <c r="AK147" s="248" t="e">
        <f t="shared" si="19"/>
        <v>#VALUE!</v>
      </c>
      <c r="AL147" s="147" t="s">
        <v>1351</v>
      </c>
      <c r="AM147" s="209"/>
      <c r="AN147" s="159"/>
      <c r="AO147" s="249"/>
      <c r="AP147" s="147">
        <v>0</v>
      </c>
      <c r="AQ147" s="147">
        <v>0</v>
      </c>
      <c r="AR147" s="147">
        <v>25</v>
      </c>
      <c r="AS147" s="147">
        <v>0</v>
      </c>
      <c r="AT147" s="250">
        <v>2000</v>
      </c>
      <c r="AU147" s="147">
        <v>0</v>
      </c>
      <c r="AV147" s="147">
        <v>2</v>
      </c>
      <c r="AW147" s="147">
        <v>40</v>
      </c>
      <c r="AX147" s="215">
        <v>0</v>
      </c>
      <c r="AY147" s="147"/>
      <c r="AZ147" s="204" t="b">
        <v>0</v>
      </c>
      <c r="BA147" s="147" t="s">
        <v>1533</v>
      </c>
      <c r="BB147" s="351" t="s">
        <v>1983</v>
      </c>
      <c r="BC147" s="351" t="s">
        <v>1081</v>
      </c>
      <c r="BD147" s="352">
        <v>544.42622159999996</v>
      </c>
      <c r="BE147" s="351" t="s">
        <v>1076</v>
      </c>
      <c r="BF147" s="159" t="s">
        <v>264</v>
      </c>
      <c r="BG147" s="159" t="s">
        <v>264</v>
      </c>
      <c r="BH147" s="159" t="s">
        <v>264</v>
      </c>
      <c r="BI147" s="159" t="s">
        <v>264</v>
      </c>
      <c r="BJ147" s="159" t="s">
        <v>264</v>
      </c>
      <c r="BK147" s="147" t="s">
        <v>1984</v>
      </c>
      <c r="BL147" s="159" t="s">
        <v>1512</v>
      </c>
      <c r="BM147" s="159"/>
      <c r="BN147" s="159"/>
      <c r="BO147" s="159"/>
    </row>
    <row r="148" spans="1:77" ht="40.5" customHeight="1">
      <c r="A148" s="204" t="b">
        <v>1</v>
      </c>
      <c r="B148" s="150" t="s">
        <v>1335</v>
      </c>
      <c r="C148" s="150" t="s">
        <v>1336</v>
      </c>
      <c r="D148" s="204" t="b">
        <v>0</v>
      </c>
      <c r="E148" s="159"/>
      <c r="F148" s="206" t="s">
        <v>1354</v>
      </c>
      <c r="G148" s="159" t="s">
        <v>1988</v>
      </c>
      <c r="H148" s="159"/>
      <c r="I148" s="159" t="s">
        <v>1980</v>
      </c>
      <c r="J148" s="147" t="s">
        <v>1989</v>
      </c>
      <c r="K148" s="147" t="s">
        <v>1982</v>
      </c>
      <c r="L148" s="159"/>
      <c r="M148" s="147" t="s">
        <v>278</v>
      </c>
      <c r="N148" s="147" t="s">
        <v>297</v>
      </c>
      <c r="O148" s="147" t="s">
        <v>304</v>
      </c>
      <c r="P148" s="159"/>
      <c r="Q148" s="147">
        <v>2050</v>
      </c>
      <c r="R148" s="147" t="s">
        <v>456</v>
      </c>
      <c r="S148" s="147" t="s">
        <v>475</v>
      </c>
      <c r="T148" s="147">
        <v>2022</v>
      </c>
      <c r="U148" s="208">
        <v>9</v>
      </c>
      <c r="V148" s="150" t="str">
        <f t="shared" si="17"/>
        <v>Mature</v>
      </c>
      <c r="W148" s="147" t="s">
        <v>1350</v>
      </c>
      <c r="X148" s="204" t="b">
        <v>0</v>
      </c>
      <c r="Y148" s="147">
        <v>1</v>
      </c>
      <c r="Z148" s="150"/>
      <c r="AA148" s="147" t="s">
        <v>356</v>
      </c>
      <c r="AB148" s="147" t="s">
        <v>264</v>
      </c>
      <c r="AC148" s="209"/>
      <c r="AD148" s="150"/>
      <c r="AE148" s="248">
        <v>1</v>
      </c>
      <c r="AF148" s="150" t="s">
        <v>1351</v>
      </c>
      <c r="AG148" s="147" t="s">
        <v>346</v>
      </c>
      <c r="AH148" s="147" t="s">
        <v>346</v>
      </c>
      <c r="AI148" s="147" t="s">
        <v>346</v>
      </c>
      <c r="AJ148" s="248">
        <f t="shared" si="19"/>
        <v>1</v>
      </c>
      <c r="AK148" s="248" t="e">
        <f t="shared" si="19"/>
        <v>#VALUE!</v>
      </c>
      <c r="AL148" s="147" t="s">
        <v>1351</v>
      </c>
      <c r="AM148" s="209"/>
      <c r="AN148" s="159"/>
      <c r="AO148" s="249"/>
      <c r="AP148" s="147">
        <v>0</v>
      </c>
      <c r="AQ148" s="147">
        <v>0</v>
      </c>
      <c r="AR148" s="147">
        <v>25</v>
      </c>
      <c r="AS148" s="147">
        <v>0</v>
      </c>
      <c r="AT148" s="250">
        <v>1800</v>
      </c>
      <c r="AU148" s="147">
        <v>0</v>
      </c>
      <c r="AV148" s="147">
        <v>2</v>
      </c>
      <c r="AW148" s="147">
        <v>36</v>
      </c>
      <c r="AX148" s="215">
        <v>0</v>
      </c>
      <c r="AY148" s="147"/>
      <c r="AZ148" s="204" t="b">
        <v>0</v>
      </c>
      <c r="BA148" s="147" t="s">
        <v>1533</v>
      </c>
      <c r="BB148" s="351" t="s">
        <v>1983</v>
      </c>
      <c r="BC148" s="351" t="s">
        <v>1081</v>
      </c>
      <c r="BD148" s="352">
        <v>402.42670850000002</v>
      </c>
      <c r="BE148" s="351" t="s">
        <v>1077</v>
      </c>
      <c r="BF148" s="159" t="s">
        <v>264</v>
      </c>
      <c r="BG148" s="159" t="s">
        <v>264</v>
      </c>
      <c r="BH148" s="159" t="s">
        <v>264</v>
      </c>
      <c r="BI148" s="159" t="s">
        <v>264</v>
      </c>
      <c r="BJ148" s="159" t="s">
        <v>264</v>
      </c>
      <c r="BK148" s="147" t="s">
        <v>1984</v>
      </c>
      <c r="BL148" s="159" t="s">
        <v>1512</v>
      </c>
      <c r="BM148" s="159"/>
      <c r="BN148" s="159"/>
      <c r="BO148" s="159"/>
    </row>
    <row r="149" spans="1:77" ht="40.5" customHeight="1">
      <c r="A149" s="23" t="b">
        <v>1</v>
      </c>
      <c r="B149" s="57" t="s">
        <v>1335</v>
      </c>
      <c r="C149" s="57" t="s">
        <v>1336</v>
      </c>
      <c r="D149" s="23" t="b">
        <v>0</v>
      </c>
      <c r="F149" s="31" t="s">
        <v>1990</v>
      </c>
      <c r="G149" s="18" t="s">
        <v>1991</v>
      </c>
      <c r="H149" s="18"/>
      <c r="I149" s="18" t="s">
        <v>1980</v>
      </c>
      <c r="J149" s="58" t="s">
        <v>929</v>
      </c>
      <c r="K149" t="s">
        <v>1982</v>
      </c>
      <c r="M149" t="s">
        <v>278</v>
      </c>
      <c r="N149" t="s">
        <v>297</v>
      </c>
      <c r="O149" t="s">
        <v>304</v>
      </c>
      <c r="Q149">
        <v>2025</v>
      </c>
      <c r="R149" t="s">
        <v>456</v>
      </c>
      <c r="S149" s="63" t="s">
        <v>481</v>
      </c>
      <c r="T149">
        <v>2024</v>
      </c>
      <c r="U149" s="189">
        <v>9</v>
      </c>
      <c r="V149" s="24" t="str">
        <f t="shared" si="17"/>
        <v>Mature</v>
      </c>
      <c r="W149" t="s">
        <v>1350</v>
      </c>
      <c r="X149" s="23" t="b">
        <v>0</v>
      </c>
      <c r="Y149">
        <v>1</v>
      </c>
      <c r="AA149" t="s">
        <v>356</v>
      </c>
      <c r="AB149" t="s">
        <v>264</v>
      </c>
      <c r="AE149" s="187">
        <v>1</v>
      </c>
      <c r="AF149" s="24" t="s">
        <v>1351</v>
      </c>
      <c r="AG149" t="s">
        <v>346</v>
      </c>
      <c r="AH149" t="s">
        <v>346</v>
      </c>
      <c r="AI149" t="s">
        <v>346</v>
      </c>
      <c r="AJ149" s="187">
        <f t="shared" si="19"/>
        <v>1</v>
      </c>
      <c r="AK149" s="187" t="e">
        <f t="shared" si="19"/>
        <v>#VALUE!</v>
      </c>
      <c r="AL149" t="s">
        <v>1351</v>
      </c>
      <c r="AO149" s="198"/>
      <c r="AP149">
        <v>0</v>
      </c>
      <c r="AQ149">
        <v>0</v>
      </c>
      <c r="AR149">
        <v>25</v>
      </c>
      <c r="AS149">
        <v>0</v>
      </c>
      <c r="AT149" s="202">
        <f>3207</f>
        <v>3207</v>
      </c>
      <c r="AU149">
        <v>0</v>
      </c>
      <c r="AV149" s="252">
        <f>+AW149/AT149%</f>
        <v>0.62363579669473024</v>
      </c>
      <c r="AW149" s="63">
        <v>20</v>
      </c>
      <c r="AX149" s="177">
        <v>0</v>
      </c>
      <c r="AY149"/>
      <c r="AZ149" s="23" t="b">
        <v>0</v>
      </c>
      <c r="BA149" t="s">
        <v>1533</v>
      </c>
      <c r="BB149" s="349" t="s">
        <v>1983</v>
      </c>
      <c r="BC149" s="349" t="s">
        <v>1081</v>
      </c>
      <c r="BD149" s="350">
        <v>1335.0927208000001</v>
      </c>
      <c r="BE149" s="349" t="s">
        <v>1074</v>
      </c>
      <c r="BF149" s="18" t="s">
        <v>264</v>
      </c>
      <c r="BG149" s="18" t="s">
        <v>264</v>
      </c>
      <c r="BH149" s="18" t="s">
        <v>264</v>
      </c>
      <c r="BI149" s="18" t="s">
        <v>264</v>
      </c>
      <c r="BJ149" s="18" t="s">
        <v>264</v>
      </c>
      <c r="BK149" t="s">
        <v>1992</v>
      </c>
      <c r="BL149" s="18" t="s">
        <v>1459</v>
      </c>
    </row>
    <row r="150" spans="1:77" ht="38.25" customHeight="1">
      <c r="A150" s="23" t="b">
        <v>1</v>
      </c>
      <c r="B150" s="57" t="s">
        <v>1335</v>
      </c>
      <c r="C150" s="57" t="s">
        <v>1336</v>
      </c>
      <c r="D150" s="23" t="b">
        <v>0</v>
      </c>
      <c r="F150" s="31" t="s">
        <v>1357</v>
      </c>
      <c r="G150" s="18" t="s">
        <v>1993</v>
      </c>
      <c r="H150" s="18"/>
      <c r="I150" s="18" t="s">
        <v>1980</v>
      </c>
      <c r="J150" t="s">
        <v>1358</v>
      </c>
      <c r="K150" t="s">
        <v>1982</v>
      </c>
      <c r="M150" t="s">
        <v>278</v>
      </c>
      <c r="N150" t="s">
        <v>297</v>
      </c>
      <c r="O150" t="s">
        <v>304</v>
      </c>
      <c r="Q150">
        <v>2030</v>
      </c>
      <c r="R150" t="s">
        <v>456</v>
      </c>
      <c r="S150" s="63" t="s">
        <v>481</v>
      </c>
      <c r="T150">
        <v>2024</v>
      </c>
      <c r="U150" s="189">
        <v>9</v>
      </c>
      <c r="V150" s="24" t="str">
        <f t="shared" si="17"/>
        <v>Mature</v>
      </c>
      <c r="W150" t="s">
        <v>1350</v>
      </c>
      <c r="X150" s="23" t="b">
        <v>0</v>
      </c>
      <c r="Y150">
        <v>1</v>
      </c>
      <c r="AA150" t="s">
        <v>356</v>
      </c>
      <c r="AB150" t="s">
        <v>264</v>
      </c>
      <c r="AE150" s="187">
        <v>1</v>
      </c>
      <c r="AF150" s="24" t="s">
        <v>1351</v>
      </c>
      <c r="AG150" t="s">
        <v>346</v>
      </c>
      <c r="AH150" t="s">
        <v>346</v>
      </c>
      <c r="AI150" t="s">
        <v>346</v>
      </c>
      <c r="AJ150" s="187">
        <f t="shared" si="19"/>
        <v>1</v>
      </c>
      <c r="AK150" s="187" t="e">
        <f t="shared" si="19"/>
        <v>#VALUE!</v>
      </c>
      <c r="AL150" t="s">
        <v>1351</v>
      </c>
      <c r="AO150" s="198"/>
      <c r="AP150">
        <v>0</v>
      </c>
      <c r="AQ150">
        <v>0</v>
      </c>
      <c r="AR150">
        <v>25</v>
      </c>
      <c r="AS150">
        <v>0</v>
      </c>
      <c r="AT150" s="202">
        <f>AT149*(1-0.04)^5</f>
        <v>2614.9002412032</v>
      </c>
      <c r="AU150">
        <v>0</v>
      </c>
      <c r="AV150" s="252">
        <f>+AW150/AT150%</f>
        <v>0.76484753356393254</v>
      </c>
      <c r="AW150" s="63">
        <v>20</v>
      </c>
      <c r="AX150" s="177">
        <v>0</v>
      </c>
      <c r="AY150"/>
      <c r="AZ150" s="23" t="b">
        <v>0</v>
      </c>
      <c r="BA150" t="s">
        <v>1533</v>
      </c>
      <c r="BB150" s="349" t="s">
        <v>1983</v>
      </c>
      <c r="BC150" s="349" t="s">
        <v>1081</v>
      </c>
      <c r="BD150" s="350">
        <v>992.59203720000005</v>
      </c>
      <c r="BE150" s="349" t="s">
        <v>1075</v>
      </c>
      <c r="BF150" s="18" t="s">
        <v>264</v>
      </c>
      <c r="BG150" s="18" t="s">
        <v>264</v>
      </c>
      <c r="BH150" s="18" t="s">
        <v>264</v>
      </c>
      <c r="BI150" s="18" t="s">
        <v>264</v>
      </c>
      <c r="BJ150" s="18" t="s">
        <v>264</v>
      </c>
      <c r="BK150" t="s">
        <v>1992</v>
      </c>
      <c r="BL150" s="18" t="s">
        <v>1459</v>
      </c>
    </row>
    <row r="151" spans="1:77" s="159" customFormat="1">
      <c r="A151" s="23" t="b">
        <v>1</v>
      </c>
      <c r="B151" s="57" t="s">
        <v>1335</v>
      </c>
      <c r="C151" s="57" t="s">
        <v>1336</v>
      </c>
      <c r="D151" s="23" t="b">
        <v>0</v>
      </c>
      <c r="E151" s="18"/>
      <c r="F151" s="31" t="s">
        <v>1360</v>
      </c>
      <c r="G151" s="18" t="s">
        <v>1994</v>
      </c>
      <c r="H151" s="18"/>
      <c r="I151" s="18" t="s">
        <v>1980</v>
      </c>
      <c r="J151" t="s">
        <v>1361</v>
      </c>
      <c r="K151" t="s">
        <v>1982</v>
      </c>
      <c r="L151" s="18"/>
      <c r="M151" t="s">
        <v>278</v>
      </c>
      <c r="N151" t="s">
        <v>297</v>
      </c>
      <c r="O151" t="s">
        <v>304</v>
      </c>
      <c r="P151" s="18"/>
      <c r="Q151">
        <v>2040</v>
      </c>
      <c r="R151" t="s">
        <v>456</v>
      </c>
      <c r="S151" s="63" t="s">
        <v>481</v>
      </c>
      <c r="T151">
        <v>2024</v>
      </c>
      <c r="U151" s="189">
        <v>9</v>
      </c>
      <c r="V151" s="24" t="str">
        <f t="shared" si="17"/>
        <v>Mature</v>
      </c>
      <c r="W151" t="s">
        <v>1350</v>
      </c>
      <c r="X151" s="23" t="b">
        <v>0</v>
      </c>
      <c r="Y151">
        <v>1</v>
      </c>
      <c r="Z151" s="24"/>
      <c r="AA151" t="s">
        <v>356</v>
      </c>
      <c r="AB151" t="s">
        <v>264</v>
      </c>
      <c r="AC151" s="184"/>
      <c r="AD151" s="24"/>
      <c r="AE151" s="187">
        <v>1</v>
      </c>
      <c r="AF151" s="24" t="s">
        <v>1351</v>
      </c>
      <c r="AG151" t="s">
        <v>346</v>
      </c>
      <c r="AH151" t="s">
        <v>346</v>
      </c>
      <c r="AI151" t="s">
        <v>346</v>
      </c>
      <c r="AJ151" s="187">
        <f t="shared" si="19"/>
        <v>1</v>
      </c>
      <c r="AK151" s="187" t="e">
        <f t="shared" si="19"/>
        <v>#VALUE!</v>
      </c>
      <c r="AL151" t="s">
        <v>1351</v>
      </c>
      <c r="AM151" s="184"/>
      <c r="AN151" s="18"/>
      <c r="AO151" s="198"/>
      <c r="AP151">
        <v>0</v>
      </c>
      <c r="AQ151">
        <v>0</v>
      </c>
      <c r="AR151">
        <v>25</v>
      </c>
      <c r="AS151">
        <v>0</v>
      </c>
      <c r="AT151" s="202">
        <f>AT150*(1-0.03)^10</f>
        <v>1928.2905272866069</v>
      </c>
      <c r="AU151">
        <v>0</v>
      </c>
      <c r="AV151" s="252">
        <f>+AW151/AT151%</f>
        <v>0.77789107957229042</v>
      </c>
      <c r="AW151" s="63">
        <v>15</v>
      </c>
      <c r="AX151" s="177">
        <v>0</v>
      </c>
      <c r="AY151"/>
      <c r="AZ151" s="23" t="b">
        <v>0</v>
      </c>
      <c r="BA151" t="s">
        <v>1533</v>
      </c>
      <c r="BB151" s="349" t="s">
        <v>1983</v>
      </c>
      <c r="BC151" s="349" t="s">
        <v>1081</v>
      </c>
      <c r="BD151" s="350">
        <v>544.42622159999996</v>
      </c>
      <c r="BE151" s="349" t="s">
        <v>1076</v>
      </c>
      <c r="BF151" s="18" t="s">
        <v>264</v>
      </c>
      <c r="BG151" s="18" t="s">
        <v>264</v>
      </c>
      <c r="BH151" s="18" t="s">
        <v>264</v>
      </c>
      <c r="BI151" s="18" t="s">
        <v>264</v>
      </c>
      <c r="BJ151" s="18" t="s">
        <v>264</v>
      </c>
      <c r="BK151" t="s">
        <v>1992</v>
      </c>
      <c r="BL151" s="18" t="s">
        <v>1459</v>
      </c>
      <c r="BM151" s="18"/>
      <c r="BN151" s="18"/>
      <c r="BO151" s="18"/>
    </row>
    <row r="152" spans="1:77" s="159" customFormat="1">
      <c r="A152" s="23" t="b">
        <v>1</v>
      </c>
      <c r="B152" s="57" t="s">
        <v>1335</v>
      </c>
      <c r="C152" s="57" t="s">
        <v>1336</v>
      </c>
      <c r="D152" s="23" t="b">
        <v>0</v>
      </c>
      <c r="E152" s="18"/>
      <c r="F152" s="31" t="s">
        <v>1362</v>
      </c>
      <c r="G152" s="18" t="s">
        <v>1995</v>
      </c>
      <c r="H152" s="18"/>
      <c r="I152" s="18" t="s">
        <v>1980</v>
      </c>
      <c r="J152" t="s">
        <v>1363</v>
      </c>
      <c r="K152" t="s">
        <v>1982</v>
      </c>
      <c r="L152" s="18"/>
      <c r="M152" t="s">
        <v>278</v>
      </c>
      <c r="N152" t="s">
        <v>297</v>
      </c>
      <c r="O152" t="s">
        <v>304</v>
      </c>
      <c r="P152" s="18"/>
      <c r="Q152">
        <v>2050</v>
      </c>
      <c r="R152" t="s">
        <v>456</v>
      </c>
      <c r="S152" s="63" t="s">
        <v>481</v>
      </c>
      <c r="T152">
        <v>2024</v>
      </c>
      <c r="U152" s="189">
        <v>9</v>
      </c>
      <c r="V152" s="24" t="str">
        <f t="shared" si="17"/>
        <v>Mature</v>
      </c>
      <c r="W152" t="s">
        <v>1350</v>
      </c>
      <c r="X152" s="23" t="b">
        <v>0</v>
      </c>
      <c r="Y152">
        <v>1</v>
      </c>
      <c r="Z152" s="24"/>
      <c r="AA152" t="s">
        <v>356</v>
      </c>
      <c r="AB152" t="s">
        <v>264</v>
      </c>
      <c r="AC152" s="184"/>
      <c r="AD152" s="24"/>
      <c r="AE152" s="187">
        <v>1</v>
      </c>
      <c r="AF152" s="24" t="s">
        <v>1351</v>
      </c>
      <c r="AG152" t="s">
        <v>346</v>
      </c>
      <c r="AH152" t="s">
        <v>346</v>
      </c>
      <c r="AI152" t="s">
        <v>346</v>
      </c>
      <c r="AJ152" s="187">
        <f t="shared" si="19"/>
        <v>1</v>
      </c>
      <c r="AK152" s="187" t="e">
        <f t="shared" si="19"/>
        <v>#VALUE!</v>
      </c>
      <c r="AL152" t="s">
        <v>1351</v>
      </c>
      <c r="AM152" s="184"/>
      <c r="AN152" s="18"/>
      <c r="AO152" s="198"/>
      <c r="AP152">
        <v>0</v>
      </c>
      <c r="AQ152">
        <v>0</v>
      </c>
      <c r="AR152">
        <v>25</v>
      </c>
      <c r="AS152">
        <v>0</v>
      </c>
      <c r="AT152" s="202">
        <f>AT151*(1-0.02)^10</f>
        <v>1575.5537536247352</v>
      </c>
      <c r="AU152">
        <v>0</v>
      </c>
      <c r="AV152" s="252">
        <f>+AW152/AT152%</f>
        <v>0.63469748188494979</v>
      </c>
      <c r="AW152" s="63">
        <v>10</v>
      </c>
      <c r="AX152" s="177">
        <v>0</v>
      </c>
      <c r="AY152"/>
      <c r="AZ152" s="23" t="b">
        <v>0</v>
      </c>
      <c r="BA152" t="s">
        <v>1533</v>
      </c>
      <c r="BB152" s="349" t="s">
        <v>1983</v>
      </c>
      <c r="BC152" s="349" t="s">
        <v>1081</v>
      </c>
      <c r="BD152" s="350">
        <v>402.42670850000002</v>
      </c>
      <c r="BE152" s="349" t="s">
        <v>1077</v>
      </c>
      <c r="BF152" s="18" t="s">
        <v>264</v>
      </c>
      <c r="BG152" s="18" t="s">
        <v>264</v>
      </c>
      <c r="BH152" s="18" t="s">
        <v>264</v>
      </c>
      <c r="BI152" s="18" t="s">
        <v>264</v>
      </c>
      <c r="BJ152" s="18" t="s">
        <v>264</v>
      </c>
      <c r="BK152" t="s">
        <v>1992</v>
      </c>
      <c r="BL152" s="18" t="s">
        <v>1459</v>
      </c>
      <c r="BM152" s="18"/>
      <c r="BN152" s="18"/>
      <c r="BO152" s="18"/>
    </row>
    <row r="153" spans="1:77" ht="41.85" customHeight="1">
      <c r="A153" s="23" t="b">
        <v>1</v>
      </c>
      <c r="B153" s="24" t="s">
        <v>1335</v>
      </c>
      <c r="C153" s="57" t="s">
        <v>1336</v>
      </c>
      <c r="D153" s="23" t="b">
        <v>0</v>
      </c>
      <c r="F153" s="31" t="s">
        <v>1996</v>
      </c>
      <c r="G153" s="18" t="s">
        <v>1997</v>
      </c>
      <c r="H153"/>
      <c r="I153" s="18" t="s">
        <v>1980</v>
      </c>
      <c r="J153" t="s">
        <v>1338</v>
      </c>
      <c r="K153" t="s">
        <v>1998</v>
      </c>
      <c r="M153" t="s">
        <v>278</v>
      </c>
      <c r="N153" t="s">
        <v>297</v>
      </c>
      <c r="O153" t="s">
        <v>304</v>
      </c>
      <c r="Q153">
        <v>2025</v>
      </c>
      <c r="R153" t="s">
        <v>456</v>
      </c>
      <c r="S153" t="s">
        <v>475</v>
      </c>
      <c r="T153" s="24">
        <v>2022</v>
      </c>
      <c r="U153" s="189">
        <v>9</v>
      </c>
      <c r="V153" s="24" t="str">
        <f t="shared" si="17"/>
        <v>Mature</v>
      </c>
      <c r="W153"/>
      <c r="X153" s="23" t="b">
        <v>0</v>
      </c>
      <c r="Y153">
        <v>1</v>
      </c>
      <c r="AA153" t="s">
        <v>1339</v>
      </c>
      <c r="AB153" t="s">
        <v>264</v>
      </c>
      <c r="AE153" s="187">
        <v>1</v>
      </c>
      <c r="AF153" s="24" t="s">
        <v>1351</v>
      </c>
      <c r="AG153" t="s">
        <v>354</v>
      </c>
      <c r="AH153" t="s">
        <v>354</v>
      </c>
      <c r="AI153" t="s">
        <v>354</v>
      </c>
      <c r="AJ153" s="247">
        <v>0.17</v>
      </c>
      <c r="AK153" s="187" t="e">
        <f>+Z153*AF153</f>
        <v>#VALUE!</v>
      </c>
      <c r="AL153" s="18" t="s">
        <v>1351</v>
      </c>
      <c r="AO153" s="198"/>
      <c r="AP153">
        <v>0</v>
      </c>
      <c r="AQ153">
        <v>0</v>
      </c>
      <c r="AR153">
        <v>25</v>
      </c>
      <c r="AS153">
        <v>0</v>
      </c>
      <c r="AT153" s="135">
        <v>2647</v>
      </c>
      <c r="AU153">
        <v>0</v>
      </c>
      <c r="AV153" s="172">
        <f>+AW153/AT153%</f>
        <v>1.5489233094068757</v>
      </c>
      <c r="AW153">
        <v>41</v>
      </c>
      <c r="AX153" s="177">
        <v>0</v>
      </c>
      <c r="AY153">
        <v>0.05</v>
      </c>
      <c r="AZ153" s="23" t="b">
        <v>0</v>
      </c>
      <c r="BA153" t="s">
        <v>1533</v>
      </c>
      <c r="BB153" s="349" t="s">
        <v>1999</v>
      </c>
      <c r="BC153" s="349" t="s">
        <v>1081</v>
      </c>
      <c r="BD153" s="350">
        <v>1273.5568201000001</v>
      </c>
      <c r="BE153" s="349" t="s">
        <v>1074</v>
      </c>
      <c r="BF153" s="18" t="s">
        <v>264</v>
      </c>
      <c r="BG153" s="18" t="s">
        <v>264</v>
      </c>
      <c r="BH153" s="18" t="s">
        <v>264</v>
      </c>
      <c r="BI153" s="18" t="s">
        <v>264</v>
      </c>
      <c r="BJ153" s="18" t="s">
        <v>264</v>
      </c>
      <c r="BK153" t="s">
        <v>2000</v>
      </c>
      <c r="BL153" s="18" t="s">
        <v>1459</v>
      </c>
      <c r="BP153" s="143">
        <v>15000</v>
      </c>
      <c r="BQ153" s="141">
        <f>BP153/AT153-1</f>
        <v>4.6667925953910085</v>
      </c>
      <c r="BR153" s="143">
        <v>225</v>
      </c>
      <c r="BS153" s="141">
        <f>BR153/AW153-1</f>
        <v>4.4878048780487809</v>
      </c>
      <c r="BX153" s="143">
        <v>25</v>
      </c>
      <c r="BY153" s="141">
        <f>BX153/AR153-1</f>
        <v>0</v>
      </c>
    </row>
    <row r="154" spans="1:77" s="159" customFormat="1" ht="43.35" customHeight="1">
      <c r="A154" s="23" t="b">
        <v>1</v>
      </c>
      <c r="B154" s="24" t="s">
        <v>1335</v>
      </c>
      <c r="C154" s="57" t="s">
        <v>1336</v>
      </c>
      <c r="D154" s="23" t="b">
        <v>0</v>
      </c>
      <c r="E154" s="18"/>
      <c r="F154" s="31" t="s">
        <v>2001</v>
      </c>
      <c r="G154" s="18" t="s">
        <v>2002</v>
      </c>
      <c r="H154"/>
      <c r="I154" s="18" t="s">
        <v>1980</v>
      </c>
      <c r="J154" t="s">
        <v>1343</v>
      </c>
      <c r="K154" t="s">
        <v>1998</v>
      </c>
      <c r="L154" s="18"/>
      <c r="M154" t="s">
        <v>278</v>
      </c>
      <c r="N154" t="s">
        <v>297</v>
      </c>
      <c r="O154" t="s">
        <v>304</v>
      </c>
      <c r="P154" s="18"/>
      <c r="Q154">
        <v>2030</v>
      </c>
      <c r="R154" t="s">
        <v>456</v>
      </c>
      <c r="S154" t="s">
        <v>475</v>
      </c>
      <c r="T154">
        <v>2022</v>
      </c>
      <c r="U154" s="189">
        <v>9</v>
      </c>
      <c r="V154" s="24" t="str">
        <f t="shared" si="17"/>
        <v>Mature</v>
      </c>
      <c r="W154"/>
      <c r="X154" s="23" t="b">
        <v>0</v>
      </c>
      <c r="Y154">
        <v>1</v>
      </c>
      <c r="Z154" s="24"/>
      <c r="AA154" t="s">
        <v>1339</v>
      </c>
      <c r="AB154" t="s">
        <v>264</v>
      </c>
      <c r="AC154" s="184"/>
      <c r="AD154" s="24"/>
      <c r="AE154" s="187">
        <v>1</v>
      </c>
      <c r="AF154" s="24" t="s">
        <v>1351</v>
      </c>
      <c r="AG154" t="s">
        <v>354</v>
      </c>
      <c r="AH154" t="s">
        <v>354</v>
      </c>
      <c r="AI154" t="s">
        <v>354</v>
      </c>
      <c r="AJ154" s="247">
        <v>0.2</v>
      </c>
      <c r="AK154" s="187" t="e">
        <f>+Z154*AF154</f>
        <v>#VALUE!</v>
      </c>
      <c r="AL154" s="18" t="s">
        <v>1351</v>
      </c>
      <c r="AM154" s="184"/>
      <c r="AN154" s="18"/>
      <c r="AO154" s="198"/>
      <c r="AP154">
        <v>0</v>
      </c>
      <c r="AQ154">
        <v>0</v>
      </c>
      <c r="AR154">
        <v>25</v>
      </c>
      <c r="AS154">
        <v>0</v>
      </c>
      <c r="AT154" s="135">
        <v>1880</v>
      </c>
      <c r="AU154">
        <v>0</v>
      </c>
      <c r="AV154" s="172">
        <v>2</v>
      </c>
      <c r="AW154">
        <f>AT154*AV154%</f>
        <v>37.6</v>
      </c>
      <c r="AX154" s="177">
        <v>0</v>
      </c>
      <c r="AY154">
        <v>0.05</v>
      </c>
      <c r="AZ154" s="23" t="b">
        <v>0</v>
      </c>
      <c r="BA154" t="s">
        <v>1533</v>
      </c>
      <c r="BB154" s="349" t="s">
        <v>1999</v>
      </c>
      <c r="BC154" s="349" t="s">
        <v>1081</v>
      </c>
      <c r="BD154" s="350">
        <v>944.30206169999997</v>
      </c>
      <c r="BE154" s="349" t="s">
        <v>1075</v>
      </c>
      <c r="BF154" s="18" t="s">
        <v>264</v>
      </c>
      <c r="BG154" s="18" t="s">
        <v>264</v>
      </c>
      <c r="BH154" s="18" t="s">
        <v>264</v>
      </c>
      <c r="BI154" s="18" t="s">
        <v>264</v>
      </c>
      <c r="BJ154" s="18" t="s">
        <v>264</v>
      </c>
      <c r="BK154" t="s">
        <v>2000</v>
      </c>
      <c r="BL154" s="18" t="s">
        <v>1459</v>
      </c>
      <c r="BM154" s="18"/>
      <c r="BN154" s="18"/>
      <c r="BO154" s="18"/>
      <c r="BP154" s="216">
        <v>15000</v>
      </c>
      <c r="BQ154" s="219">
        <f>BP154/AT154-1</f>
        <v>6.9787234042553195</v>
      </c>
      <c r="BR154" s="216">
        <v>225</v>
      </c>
      <c r="BS154" s="219">
        <f>BR154/AW154-1</f>
        <v>4.9840425531914887</v>
      </c>
      <c r="BX154" s="216">
        <v>25</v>
      </c>
      <c r="BY154" s="219">
        <f>BX154/AR154-1</f>
        <v>0</v>
      </c>
    </row>
    <row r="155" spans="1:77" ht="39" customHeight="1">
      <c r="A155" s="23" t="b">
        <v>1</v>
      </c>
      <c r="B155" s="24" t="s">
        <v>1335</v>
      </c>
      <c r="C155" s="57" t="s">
        <v>1336</v>
      </c>
      <c r="D155" s="23" t="b">
        <v>0</v>
      </c>
      <c r="F155" s="31" t="s">
        <v>2003</v>
      </c>
      <c r="G155" s="18" t="s">
        <v>2004</v>
      </c>
      <c r="H155"/>
      <c r="I155" s="18" t="s">
        <v>1980</v>
      </c>
      <c r="J155" t="s">
        <v>1345</v>
      </c>
      <c r="K155" t="s">
        <v>1998</v>
      </c>
      <c r="M155" t="s">
        <v>278</v>
      </c>
      <c r="N155" t="s">
        <v>297</v>
      </c>
      <c r="O155" t="s">
        <v>304</v>
      </c>
      <c r="Q155">
        <v>2040</v>
      </c>
      <c r="R155" t="s">
        <v>456</v>
      </c>
      <c r="S155" t="s">
        <v>475</v>
      </c>
      <c r="T155">
        <v>2022</v>
      </c>
      <c r="U155" s="189">
        <v>9</v>
      </c>
      <c r="V155" s="24" t="str">
        <f t="shared" si="17"/>
        <v>Mature</v>
      </c>
      <c r="W155"/>
      <c r="X155" s="23" t="b">
        <v>0</v>
      </c>
      <c r="Y155">
        <v>1</v>
      </c>
      <c r="AA155" t="s">
        <v>1339</v>
      </c>
      <c r="AB155" t="s">
        <v>264</v>
      </c>
      <c r="AE155" s="187">
        <v>1</v>
      </c>
      <c r="AF155" s="24" t="s">
        <v>1351</v>
      </c>
      <c r="AG155" t="s">
        <v>354</v>
      </c>
      <c r="AH155" t="s">
        <v>354</v>
      </c>
      <c r="AI155" t="s">
        <v>354</v>
      </c>
      <c r="AJ155" s="247">
        <v>0.2</v>
      </c>
      <c r="AK155" s="187" t="e">
        <f>+Z155*AF155</f>
        <v>#VALUE!</v>
      </c>
      <c r="AL155" s="18" t="s">
        <v>1351</v>
      </c>
      <c r="AO155" s="198"/>
      <c r="AP155">
        <v>0</v>
      </c>
      <c r="AQ155">
        <v>0</v>
      </c>
      <c r="AR155">
        <v>25</v>
      </c>
      <c r="AS155">
        <v>0</v>
      </c>
      <c r="AT155" s="135">
        <v>1400</v>
      </c>
      <c r="AU155">
        <v>0</v>
      </c>
      <c r="AV155" s="172">
        <v>2</v>
      </c>
      <c r="AW155">
        <f>AT155*AV155%</f>
        <v>28</v>
      </c>
      <c r="AX155" s="177">
        <v>0</v>
      </c>
      <c r="AY155">
        <v>0.05</v>
      </c>
      <c r="AZ155" s="23" t="b">
        <v>0</v>
      </c>
      <c r="BA155" t="s">
        <v>1533</v>
      </c>
      <c r="BB155" s="349" t="s">
        <v>1999</v>
      </c>
      <c r="BC155" s="349" t="s">
        <v>1081</v>
      </c>
      <c r="BD155" s="350">
        <v>508.46186519999998</v>
      </c>
      <c r="BE155" s="349" t="s">
        <v>1076</v>
      </c>
      <c r="BF155" s="18" t="s">
        <v>264</v>
      </c>
      <c r="BG155" s="18" t="s">
        <v>264</v>
      </c>
      <c r="BH155" s="18" t="s">
        <v>264</v>
      </c>
      <c r="BI155" s="18" t="s">
        <v>264</v>
      </c>
      <c r="BJ155" s="18" t="s">
        <v>264</v>
      </c>
      <c r="BK155" t="s">
        <v>2000</v>
      </c>
      <c r="BL155" s="18" t="s">
        <v>1459</v>
      </c>
      <c r="BP155" s="143">
        <v>15000</v>
      </c>
      <c r="BQ155" s="141">
        <f>BP155/AT155-1</f>
        <v>9.7142857142857135</v>
      </c>
      <c r="BR155" s="143">
        <v>225</v>
      </c>
      <c r="BS155" s="141">
        <f>BR155/AW155-1</f>
        <v>7.0357142857142865</v>
      </c>
      <c r="BX155" s="143">
        <v>25</v>
      </c>
      <c r="BY155" s="141">
        <f>BX155/AR155-1</f>
        <v>0</v>
      </c>
    </row>
    <row r="156" spans="1:77" s="159" customFormat="1">
      <c r="A156" s="23" t="b">
        <v>1</v>
      </c>
      <c r="B156" s="24" t="s">
        <v>1335</v>
      </c>
      <c r="C156" s="57" t="s">
        <v>1336</v>
      </c>
      <c r="D156" s="23" t="b">
        <v>0</v>
      </c>
      <c r="E156" s="18"/>
      <c r="F156" s="31" t="s">
        <v>2005</v>
      </c>
      <c r="G156" s="18" t="s">
        <v>2006</v>
      </c>
      <c r="H156"/>
      <c r="I156" s="18" t="s">
        <v>1980</v>
      </c>
      <c r="J156" t="s">
        <v>1347</v>
      </c>
      <c r="K156" t="s">
        <v>1998</v>
      </c>
      <c r="L156" s="18"/>
      <c r="M156" t="s">
        <v>278</v>
      </c>
      <c r="N156" t="s">
        <v>297</v>
      </c>
      <c r="O156" t="s">
        <v>304</v>
      </c>
      <c r="P156" s="18"/>
      <c r="Q156">
        <v>2050</v>
      </c>
      <c r="R156" t="s">
        <v>456</v>
      </c>
      <c r="S156" t="s">
        <v>475</v>
      </c>
      <c r="T156">
        <v>2022</v>
      </c>
      <c r="U156" s="189">
        <v>9</v>
      </c>
      <c r="V156" s="24" t="str">
        <f t="shared" si="17"/>
        <v>Mature</v>
      </c>
      <c r="W156"/>
      <c r="X156" s="23" t="b">
        <v>0</v>
      </c>
      <c r="Y156">
        <v>1</v>
      </c>
      <c r="Z156" s="24"/>
      <c r="AA156" t="s">
        <v>1339</v>
      </c>
      <c r="AB156" t="s">
        <v>264</v>
      </c>
      <c r="AC156" s="184"/>
      <c r="AD156" s="24"/>
      <c r="AE156" s="187">
        <v>1</v>
      </c>
      <c r="AF156" s="24" t="s">
        <v>1351</v>
      </c>
      <c r="AG156" t="s">
        <v>354</v>
      </c>
      <c r="AH156" t="s">
        <v>354</v>
      </c>
      <c r="AI156" t="s">
        <v>354</v>
      </c>
      <c r="AJ156" s="247">
        <v>0.2</v>
      </c>
      <c r="AK156" s="187" t="e">
        <f>+Z156*AF156</f>
        <v>#VALUE!</v>
      </c>
      <c r="AL156" s="18" t="s">
        <v>1351</v>
      </c>
      <c r="AM156" s="184"/>
      <c r="AN156" s="18"/>
      <c r="AO156" s="198"/>
      <c r="AP156">
        <v>0</v>
      </c>
      <c r="AQ156">
        <v>0</v>
      </c>
      <c r="AR156">
        <v>25</v>
      </c>
      <c r="AS156">
        <v>0</v>
      </c>
      <c r="AT156" s="135">
        <v>1020</v>
      </c>
      <c r="AU156">
        <v>0</v>
      </c>
      <c r="AV156" s="172">
        <f>+AW156/AT156%</f>
        <v>2.0588235294117649</v>
      </c>
      <c r="AW156">
        <v>21</v>
      </c>
      <c r="AX156" s="177">
        <v>0</v>
      </c>
      <c r="AY156">
        <v>0.05</v>
      </c>
      <c r="AZ156" s="23" t="b">
        <v>0</v>
      </c>
      <c r="BA156" t="s">
        <v>1533</v>
      </c>
      <c r="BB156" s="349" t="s">
        <v>1999</v>
      </c>
      <c r="BC156" s="349" t="s">
        <v>1081</v>
      </c>
      <c r="BD156" s="350">
        <v>376.99504739999998</v>
      </c>
      <c r="BE156" s="349" t="s">
        <v>1077</v>
      </c>
      <c r="BF156" s="18" t="s">
        <v>264</v>
      </c>
      <c r="BG156" s="18" t="s">
        <v>264</v>
      </c>
      <c r="BH156" s="18" t="s">
        <v>264</v>
      </c>
      <c r="BI156" s="18" t="s">
        <v>264</v>
      </c>
      <c r="BJ156" s="18" t="s">
        <v>264</v>
      </c>
      <c r="BK156" t="s">
        <v>2000</v>
      </c>
      <c r="BL156" s="18" t="s">
        <v>1459</v>
      </c>
      <c r="BM156" s="18"/>
      <c r="BN156" s="18"/>
      <c r="BO156" s="18"/>
    </row>
    <row r="157" spans="1:77" ht="46.35" customHeight="1">
      <c r="A157" s="23" t="b">
        <v>0</v>
      </c>
      <c r="B157" s="57" t="s">
        <v>1442</v>
      </c>
      <c r="C157" s="57" t="s">
        <v>1476</v>
      </c>
      <c r="D157" s="23" t="b">
        <v>0</v>
      </c>
      <c r="E157" s="23" t="b">
        <v>0</v>
      </c>
      <c r="F157" s="31" t="s">
        <v>2007</v>
      </c>
      <c r="G157" s="18" t="s">
        <v>2008</v>
      </c>
      <c r="I157" s="18" t="s">
        <v>244</v>
      </c>
      <c r="J157" s="47" t="s">
        <v>657</v>
      </c>
      <c r="K157" s="47" t="s">
        <v>2009</v>
      </c>
      <c r="L157" s="24" t="s">
        <v>262</v>
      </c>
      <c r="M157" s="24" t="s">
        <v>277</v>
      </c>
      <c r="N157" s="24" t="s">
        <v>289</v>
      </c>
      <c r="O157" s="24" t="s">
        <v>304</v>
      </c>
      <c r="P157" s="24">
        <v>100</v>
      </c>
      <c r="Q157" s="24">
        <v>2020</v>
      </c>
      <c r="R157" s="24" t="s">
        <v>456</v>
      </c>
      <c r="S157" s="24" t="s">
        <v>475</v>
      </c>
      <c r="T157" s="24">
        <v>2025</v>
      </c>
      <c r="U157" s="189">
        <v>9</v>
      </c>
      <c r="V157" s="24" t="str">
        <f t="shared" si="17"/>
        <v>Mature</v>
      </c>
      <c r="W157" s="24" t="s">
        <v>1447</v>
      </c>
      <c r="X157" s="23" t="b">
        <v>1</v>
      </c>
      <c r="Y157" s="24">
        <v>0.55000000000000004</v>
      </c>
      <c r="AA157" s="24" t="s">
        <v>1792</v>
      </c>
      <c r="AB157" s="24" t="s">
        <v>401</v>
      </c>
      <c r="AC157" s="24"/>
      <c r="AE157" s="24" t="s">
        <v>2010</v>
      </c>
      <c r="AF157" s="24" t="s">
        <v>1482</v>
      </c>
      <c r="AG157" s="24" t="s">
        <v>2011</v>
      </c>
      <c r="AH157" s="24" t="s">
        <v>1610</v>
      </c>
      <c r="AI157" s="18" t="s">
        <v>555</v>
      </c>
      <c r="AJ157" s="18" t="s">
        <v>2012</v>
      </c>
      <c r="AK157" s="18" t="s">
        <v>2013</v>
      </c>
      <c r="AL157" s="18" t="s">
        <v>1613</v>
      </c>
      <c r="AM157" s="24"/>
      <c r="AN157" s="24"/>
      <c r="AO157" s="165">
        <v>0.79700000000000004</v>
      </c>
      <c r="AP157" s="24">
        <v>300</v>
      </c>
      <c r="AQ157" s="24">
        <v>0</v>
      </c>
      <c r="AR157" s="24">
        <v>25</v>
      </c>
      <c r="AS157" s="24">
        <v>0</v>
      </c>
      <c r="AT157" s="171">
        <v>960</v>
      </c>
      <c r="AU157" s="24">
        <v>0</v>
      </c>
      <c r="AV157" s="24">
        <v>4</v>
      </c>
      <c r="AW157" s="111">
        <f>AT157*AV157%</f>
        <v>38.4</v>
      </c>
      <c r="AX157" s="179">
        <v>0</v>
      </c>
      <c r="AZ157" s="23" t="b">
        <v>0</v>
      </c>
      <c r="BA157" s="24" t="s">
        <v>1456</v>
      </c>
      <c r="BB157" s="349" t="s">
        <v>2014</v>
      </c>
      <c r="BC157" s="349" t="s">
        <v>1081</v>
      </c>
      <c r="BD157" s="350">
        <v>9.7803000000000005E-3</v>
      </c>
      <c r="BE157" s="349" t="s">
        <v>1074</v>
      </c>
      <c r="BF157" s="18" t="s">
        <v>1615</v>
      </c>
      <c r="BG157" s="18" t="s">
        <v>2363</v>
      </c>
      <c r="BH157" s="18">
        <v>0.12570000000000001</v>
      </c>
      <c r="BI157" s="18">
        <v>5.8999999999999999E-3</v>
      </c>
      <c r="BJ157" s="18" t="s">
        <v>1474</v>
      </c>
      <c r="BK157" s="157" t="s">
        <v>1620</v>
      </c>
      <c r="BL157" s="18" t="s">
        <v>1459</v>
      </c>
      <c r="BM157" s="121" t="s">
        <v>2015</v>
      </c>
      <c r="BO157" s="137" t="s">
        <v>1464</v>
      </c>
      <c r="BP157" s="143">
        <v>3750</v>
      </c>
      <c r="BQ157" s="141">
        <f>BP157/AT157-1</f>
        <v>2.90625</v>
      </c>
      <c r="BR157" s="143">
        <v>85</v>
      </c>
      <c r="BS157" s="141">
        <f>BR157/AW157-1</f>
        <v>1.213541666666667</v>
      </c>
      <c r="BX157" s="143">
        <v>35</v>
      </c>
      <c r="BY157" s="141">
        <f>BX157/AR157-1</f>
        <v>0.39999999999999991</v>
      </c>
    </row>
    <row r="158" spans="1:77" s="159" customFormat="1" ht="42.6" customHeight="1">
      <c r="A158" s="23" t="b">
        <v>0</v>
      </c>
      <c r="B158" s="57" t="s">
        <v>1442</v>
      </c>
      <c r="C158" s="57" t="s">
        <v>1476</v>
      </c>
      <c r="D158" s="23" t="b">
        <v>0</v>
      </c>
      <c r="E158" s="23" t="b">
        <v>0</v>
      </c>
      <c r="F158" s="31" t="s">
        <v>2016</v>
      </c>
      <c r="G158" s="18" t="s">
        <v>2017</v>
      </c>
      <c r="H158" s="31"/>
      <c r="I158" s="18" t="s">
        <v>244</v>
      </c>
      <c r="J158" s="47" t="s">
        <v>657</v>
      </c>
      <c r="K158" s="47" t="s">
        <v>2009</v>
      </c>
      <c r="L158" s="24" t="s">
        <v>262</v>
      </c>
      <c r="M158" s="24" t="s">
        <v>277</v>
      </c>
      <c r="N158" s="24" t="s">
        <v>289</v>
      </c>
      <c r="O158" s="24" t="s">
        <v>304</v>
      </c>
      <c r="P158" s="24">
        <v>100</v>
      </c>
      <c r="Q158" s="24">
        <v>2030</v>
      </c>
      <c r="R158" s="24" t="s">
        <v>456</v>
      </c>
      <c r="S158" s="24" t="s">
        <v>475</v>
      </c>
      <c r="T158" s="24">
        <v>2025</v>
      </c>
      <c r="U158" s="189">
        <v>9</v>
      </c>
      <c r="V158" s="24" t="str">
        <f t="shared" si="17"/>
        <v>Mature</v>
      </c>
      <c r="W158" s="24" t="s">
        <v>1447</v>
      </c>
      <c r="X158" s="23" t="b">
        <v>1</v>
      </c>
      <c r="Y158" s="24">
        <v>0.55000000000000004</v>
      </c>
      <c r="Z158" s="24"/>
      <c r="AA158" s="24" t="s">
        <v>1792</v>
      </c>
      <c r="AB158" s="24" t="s">
        <v>401</v>
      </c>
      <c r="AC158" s="24"/>
      <c r="AD158" s="24"/>
      <c r="AE158" s="24" t="s">
        <v>2010</v>
      </c>
      <c r="AF158" s="24" t="s">
        <v>1482</v>
      </c>
      <c r="AG158" s="24" t="s">
        <v>2011</v>
      </c>
      <c r="AH158" s="24" t="s">
        <v>1610</v>
      </c>
      <c r="AI158" s="18" t="s">
        <v>555</v>
      </c>
      <c r="AJ158" s="18" t="s">
        <v>2012</v>
      </c>
      <c r="AK158" s="18" t="s">
        <v>2013</v>
      </c>
      <c r="AL158" s="18" t="s">
        <v>1613</v>
      </c>
      <c r="AM158" s="24"/>
      <c r="AN158" s="24"/>
      <c r="AO158" s="165">
        <v>0.79700000000000004</v>
      </c>
      <c r="AP158" s="24">
        <v>300</v>
      </c>
      <c r="AQ158" s="24">
        <v>0</v>
      </c>
      <c r="AR158" s="24">
        <v>25</v>
      </c>
      <c r="AS158" s="24">
        <v>0</v>
      </c>
      <c r="AT158" s="171">
        <v>750</v>
      </c>
      <c r="AU158" s="24">
        <v>0</v>
      </c>
      <c r="AV158" s="24">
        <v>4</v>
      </c>
      <c r="AW158" s="111">
        <f>AT158*AV158%</f>
        <v>30</v>
      </c>
      <c r="AX158" s="179">
        <v>0</v>
      </c>
      <c r="AY158" s="18"/>
      <c r="AZ158" s="23" t="b">
        <v>0</v>
      </c>
      <c r="BA158" s="24" t="s">
        <v>1456</v>
      </c>
      <c r="BB158" s="349" t="s">
        <v>2014</v>
      </c>
      <c r="BC158" s="349" t="s">
        <v>1081</v>
      </c>
      <c r="BD158" s="350">
        <v>8.2038000000000007E-3</v>
      </c>
      <c r="BE158" s="349" t="s">
        <v>1075</v>
      </c>
      <c r="BF158" s="18" t="s">
        <v>1615</v>
      </c>
      <c r="BG158" s="18" t="s">
        <v>2363</v>
      </c>
      <c r="BH158" s="18">
        <v>0.12570000000000001</v>
      </c>
      <c r="BI158" s="18">
        <v>5.8999999999999999E-3</v>
      </c>
      <c r="BJ158" s="18" t="s">
        <v>1474</v>
      </c>
      <c r="BK158" s="157" t="s">
        <v>1620</v>
      </c>
      <c r="BL158" s="18" t="s">
        <v>1459</v>
      </c>
      <c r="BM158" s="121" t="s">
        <v>2015</v>
      </c>
      <c r="BN158" s="18"/>
      <c r="BO158" s="137" t="s">
        <v>1464</v>
      </c>
      <c r="BP158" s="216">
        <v>3750</v>
      </c>
      <c r="BQ158" s="219">
        <f>BP158/AT158-1</f>
        <v>4</v>
      </c>
      <c r="BR158" s="216">
        <v>85</v>
      </c>
      <c r="BS158" s="219">
        <f>BR158/AW158-1</f>
        <v>1.8333333333333335</v>
      </c>
      <c r="BX158" s="216">
        <v>35</v>
      </c>
      <c r="BY158" s="219">
        <f>BX158/AR158-1</f>
        <v>0.39999999999999991</v>
      </c>
    </row>
    <row r="159" spans="1:77" ht="31.2">
      <c r="A159" s="23" t="b">
        <v>0</v>
      </c>
      <c r="B159" s="57" t="s">
        <v>1442</v>
      </c>
      <c r="C159" s="57" t="s">
        <v>1476</v>
      </c>
      <c r="D159" s="23" t="b">
        <v>0</v>
      </c>
      <c r="E159" s="23" t="b">
        <v>0</v>
      </c>
      <c r="F159" s="31" t="s">
        <v>2018</v>
      </c>
      <c r="G159" s="18" t="s">
        <v>2019</v>
      </c>
      <c r="I159" s="18" t="s">
        <v>244</v>
      </c>
      <c r="J159" s="47" t="s">
        <v>657</v>
      </c>
      <c r="K159" s="47" t="s">
        <v>2009</v>
      </c>
      <c r="L159" s="24" t="s">
        <v>262</v>
      </c>
      <c r="M159" s="24" t="s">
        <v>277</v>
      </c>
      <c r="N159" s="24" t="s">
        <v>289</v>
      </c>
      <c r="O159" s="24" t="s">
        <v>304</v>
      </c>
      <c r="P159" s="24">
        <v>100</v>
      </c>
      <c r="Q159" s="24">
        <v>2040</v>
      </c>
      <c r="R159" s="24" t="s">
        <v>456</v>
      </c>
      <c r="S159" s="24" t="s">
        <v>475</v>
      </c>
      <c r="T159" s="24">
        <v>2025</v>
      </c>
      <c r="U159" s="189">
        <v>9</v>
      </c>
      <c r="V159" s="24" t="str">
        <f t="shared" si="17"/>
        <v>Mature</v>
      </c>
      <c r="W159" s="24" t="s">
        <v>1447</v>
      </c>
      <c r="X159" s="23" t="b">
        <v>1</v>
      </c>
      <c r="Y159" s="24">
        <v>0.55000000000000004</v>
      </c>
      <c r="AA159" s="24" t="s">
        <v>1792</v>
      </c>
      <c r="AB159" s="24" t="s">
        <v>401</v>
      </c>
      <c r="AC159" s="24"/>
      <c r="AE159" s="24" t="s">
        <v>2010</v>
      </c>
      <c r="AF159" s="24" t="s">
        <v>1482</v>
      </c>
      <c r="AG159" s="24" t="s">
        <v>2011</v>
      </c>
      <c r="AH159" s="24" t="s">
        <v>1610</v>
      </c>
      <c r="AI159" s="18" t="s">
        <v>555</v>
      </c>
      <c r="AJ159" s="18" t="s">
        <v>2012</v>
      </c>
      <c r="AK159" s="18" t="s">
        <v>2013</v>
      </c>
      <c r="AL159" s="18" t="s">
        <v>1613</v>
      </c>
      <c r="AM159" s="24"/>
      <c r="AN159" s="24"/>
      <c r="AO159" s="165">
        <v>0.79700000000000004</v>
      </c>
      <c r="AP159" s="24">
        <v>300</v>
      </c>
      <c r="AQ159" s="24">
        <v>0</v>
      </c>
      <c r="AR159" s="24">
        <v>25</v>
      </c>
      <c r="AS159" s="24">
        <v>0</v>
      </c>
      <c r="AT159" s="171">
        <v>560</v>
      </c>
      <c r="AU159" s="24">
        <v>0</v>
      </c>
      <c r="AV159" s="24">
        <v>4</v>
      </c>
      <c r="AW159" s="111">
        <f>AT159*AV159%</f>
        <v>22.400000000000002</v>
      </c>
      <c r="AX159" s="179">
        <v>0</v>
      </c>
      <c r="AZ159" s="23" t="b">
        <v>0</v>
      </c>
      <c r="BA159" s="24" t="s">
        <v>1456</v>
      </c>
      <c r="BB159" s="349" t="s">
        <v>2014</v>
      </c>
      <c r="BC159" s="349" t="s">
        <v>1081</v>
      </c>
      <c r="BD159" s="350">
        <v>5.0514999999999996E-3</v>
      </c>
      <c r="BE159" s="349" t="s">
        <v>1076</v>
      </c>
      <c r="BF159" s="18" t="s">
        <v>1615</v>
      </c>
      <c r="BG159" s="18" t="s">
        <v>2363</v>
      </c>
      <c r="BH159" s="18">
        <v>0.12570000000000001</v>
      </c>
      <c r="BI159" s="18">
        <v>5.8999999999999999E-3</v>
      </c>
      <c r="BJ159" s="18" t="s">
        <v>1474</v>
      </c>
      <c r="BK159" s="157" t="s">
        <v>1620</v>
      </c>
      <c r="BL159" s="18" t="s">
        <v>1459</v>
      </c>
      <c r="BM159" s="121" t="s">
        <v>2015</v>
      </c>
      <c r="BO159" s="137" t="s">
        <v>1464</v>
      </c>
      <c r="BP159" s="143">
        <v>3750</v>
      </c>
      <c r="BQ159" s="141">
        <f>BP159/AT159-1</f>
        <v>5.6964285714285712</v>
      </c>
      <c r="BR159" s="143">
        <v>85</v>
      </c>
      <c r="BS159" s="141">
        <f>BR159/AW159-1</f>
        <v>2.7946428571428568</v>
      </c>
      <c r="BT159" s="18">
        <f>95.5*1000000/(229.3*1000*6.3)</f>
        <v>66.108722890231832</v>
      </c>
      <c r="BX159" s="143">
        <v>35</v>
      </c>
      <c r="BY159" s="141">
        <f>BX159/AR159-1</f>
        <v>0.39999999999999991</v>
      </c>
    </row>
    <row r="160" spans="1:77" s="159" customFormat="1" ht="4.5" customHeight="1">
      <c r="A160" s="23" t="b">
        <v>0</v>
      </c>
      <c r="B160" s="57" t="s">
        <v>1442</v>
      </c>
      <c r="C160" s="57" t="s">
        <v>1476</v>
      </c>
      <c r="D160" s="23" t="b">
        <v>0</v>
      </c>
      <c r="E160" s="23" t="b">
        <v>0</v>
      </c>
      <c r="F160" s="31" t="s">
        <v>2020</v>
      </c>
      <c r="G160" s="18" t="s">
        <v>2021</v>
      </c>
      <c r="H160" s="31"/>
      <c r="I160" s="18" t="s">
        <v>244</v>
      </c>
      <c r="J160" s="47" t="s">
        <v>657</v>
      </c>
      <c r="K160" s="47" t="s">
        <v>2009</v>
      </c>
      <c r="L160" s="24" t="s">
        <v>262</v>
      </c>
      <c r="M160" s="24" t="s">
        <v>277</v>
      </c>
      <c r="N160" s="24" t="s">
        <v>289</v>
      </c>
      <c r="O160" s="24" t="s">
        <v>304</v>
      </c>
      <c r="P160" s="24">
        <v>100</v>
      </c>
      <c r="Q160" s="24">
        <v>2050</v>
      </c>
      <c r="R160" s="24" t="s">
        <v>456</v>
      </c>
      <c r="S160" s="24" t="s">
        <v>475</v>
      </c>
      <c r="T160" s="24">
        <v>2025</v>
      </c>
      <c r="U160" s="189">
        <v>9</v>
      </c>
      <c r="V160" s="24" t="str">
        <f t="shared" si="17"/>
        <v>Mature</v>
      </c>
      <c r="W160" s="24" t="s">
        <v>1447</v>
      </c>
      <c r="X160" s="23" t="b">
        <v>1</v>
      </c>
      <c r="Y160" s="24">
        <v>0.55000000000000004</v>
      </c>
      <c r="Z160" s="24"/>
      <c r="AA160" s="24" t="s">
        <v>1792</v>
      </c>
      <c r="AB160" s="24" t="s">
        <v>401</v>
      </c>
      <c r="AC160" s="24"/>
      <c r="AD160" s="24"/>
      <c r="AE160" s="24" t="s">
        <v>2010</v>
      </c>
      <c r="AF160" s="24" t="s">
        <v>1482</v>
      </c>
      <c r="AG160" s="24" t="s">
        <v>2011</v>
      </c>
      <c r="AH160" s="24" t="s">
        <v>1610</v>
      </c>
      <c r="AI160" s="18" t="s">
        <v>555</v>
      </c>
      <c r="AJ160" s="18" t="s">
        <v>2012</v>
      </c>
      <c r="AK160" s="18" t="s">
        <v>2013</v>
      </c>
      <c r="AL160" s="18" t="s">
        <v>1613</v>
      </c>
      <c r="AM160" s="24"/>
      <c r="AN160" s="24"/>
      <c r="AO160" s="165">
        <v>0.79700000000000004</v>
      </c>
      <c r="AP160" s="24">
        <v>300</v>
      </c>
      <c r="AQ160" s="24">
        <v>0</v>
      </c>
      <c r="AR160" s="24">
        <v>25</v>
      </c>
      <c r="AS160" s="24">
        <v>0</v>
      </c>
      <c r="AT160" s="171">
        <v>450</v>
      </c>
      <c r="AU160" s="24">
        <v>0</v>
      </c>
      <c r="AV160" s="24">
        <v>4</v>
      </c>
      <c r="AW160" s="111">
        <f>AT160*AV160%</f>
        <v>18</v>
      </c>
      <c r="AX160" s="179">
        <v>0</v>
      </c>
      <c r="AY160" s="18"/>
      <c r="AZ160" s="23" t="b">
        <v>0</v>
      </c>
      <c r="BA160" s="24" t="s">
        <v>1456</v>
      </c>
      <c r="BB160" s="349" t="s">
        <v>2014</v>
      </c>
      <c r="BC160" s="349" t="s">
        <v>1081</v>
      </c>
      <c r="BD160" s="350">
        <v>3.4692999999999998E-3</v>
      </c>
      <c r="BE160" s="349" t="s">
        <v>1077</v>
      </c>
      <c r="BF160" s="18" t="s">
        <v>1615</v>
      </c>
      <c r="BG160" s="18" t="s">
        <v>2363</v>
      </c>
      <c r="BH160" s="18">
        <v>0.12570000000000001</v>
      </c>
      <c r="BI160" s="18">
        <v>5.8999999999999999E-3</v>
      </c>
      <c r="BJ160" s="18" t="s">
        <v>1474</v>
      </c>
      <c r="BK160" s="157" t="s">
        <v>1620</v>
      </c>
      <c r="BL160" s="18" t="s">
        <v>1459</v>
      </c>
      <c r="BM160" s="121" t="s">
        <v>2015</v>
      </c>
      <c r="BN160" s="18"/>
      <c r="BO160" s="137" t="s">
        <v>1464</v>
      </c>
    </row>
    <row r="161" spans="1:77" s="159" customFormat="1" ht="31.2">
      <c r="A161" s="23" t="b">
        <v>0</v>
      </c>
      <c r="B161" s="57" t="s">
        <v>1476</v>
      </c>
      <c r="C161" s="57" t="s">
        <v>1469</v>
      </c>
      <c r="D161" s="23" t="b">
        <v>0</v>
      </c>
      <c r="E161" s="23" t="b">
        <v>0</v>
      </c>
      <c r="F161" s="31" t="s">
        <v>2022</v>
      </c>
      <c r="G161" s="18" t="s">
        <v>2023</v>
      </c>
      <c r="H161" s="31"/>
      <c r="I161" s="18" t="s">
        <v>245</v>
      </c>
      <c r="J161" s="47" t="s">
        <v>912</v>
      </c>
      <c r="K161" s="47" t="s">
        <v>2024</v>
      </c>
      <c r="L161" s="24" t="s">
        <v>263</v>
      </c>
      <c r="M161" s="24" t="s">
        <v>277</v>
      </c>
      <c r="N161" s="24" t="s">
        <v>289</v>
      </c>
      <c r="O161" s="24" t="s">
        <v>304</v>
      </c>
      <c r="P161" s="24"/>
      <c r="Q161" s="24">
        <v>2030</v>
      </c>
      <c r="R161" s="24" t="s">
        <v>456</v>
      </c>
      <c r="S161" s="24" t="s">
        <v>475</v>
      </c>
      <c r="T161" s="165">
        <v>2025</v>
      </c>
      <c r="U161" s="189">
        <v>8</v>
      </c>
      <c r="V161" s="24" t="str">
        <f t="shared" si="17"/>
        <v>Emerging</v>
      </c>
      <c r="W161" s="165"/>
      <c r="X161" s="23" t="b">
        <v>0</v>
      </c>
      <c r="Y161" s="24">
        <v>0.7</v>
      </c>
      <c r="Z161" s="24"/>
      <c r="AA161" s="24" t="s">
        <v>1792</v>
      </c>
      <c r="AB161" s="24" t="s">
        <v>401</v>
      </c>
      <c r="AC161" s="184"/>
      <c r="AD161" s="24"/>
      <c r="AE161" s="24" t="s">
        <v>2025</v>
      </c>
      <c r="AF161" s="24" t="s">
        <v>1482</v>
      </c>
      <c r="AG161" s="24" t="s">
        <v>1739</v>
      </c>
      <c r="AH161" s="24" t="s">
        <v>1739</v>
      </c>
      <c r="AI161" s="18" t="s">
        <v>411</v>
      </c>
      <c r="AJ161" s="18" t="s">
        <v>2026</v>
      </c>
      <c r="AK161" s="18" t="s">
        <v>2026</v>
      </c>
      <c r="AL161" s="18" t="s">
        <v>1485</v>
      </c>
      <c r="AM161" s="184"/>
      <c r="AN161" s="24"/>
      <c r="AO161" s="165">
        <v>0.83</v>
      </c>
      <c r="AP161" s="24">
        <v>300</v>
      </c>
      <c r="AQ161" s="24">
        <v>0</v>
      </c>
      <c r="AR161" s="24">
        <v>25</v>
      </c>
      <c r="AS161" s="24">
        <v>0</v>
      </c>
      <c r="AT161" s="167">
        <v>750</v>
      </c>
      <c r="AU161" s="24">
        <v>0</v>
      </c>
      <c r="AV161" s="111">
        <v>3</v>
      </c>
      <c r="AW161" s="24">
        <f>+AV161*AT161%</f>
        <v>22.5</v>
      </c>
      <c r="AX161" s="175">
        <v>0</v>
      </c>
      <c r="AY161" s="18"/>
      <c r="AZ161" s="23" t="b">
        <v>0</v>
      </c>
      <c r="BA161" s="24" t="s">
        <v>1456</v>
      </c>
      <c r="BB161" s="349" t="s">
        <v>1741</v>
      </c>
      <c r="BC161" s="349" t="s">
        <v>1089</v>
      </c>
      <c r="BD161" s="350">
        <v>2.9317800000000001E-2</v>
      </c>
      <c r="BE161" s="349" t="s">
        <v>1075</v>
      </c>
      <c r="BF161" s="18" t="s">
        <v>2027</v>
      </c>
      <c r="BG161" s="18" t="s">
        <v>2028</v>
      </c>
      <c r="BH161" s="18">
        <v>-0.40550000000000003</v>
      </c>
      <c r="BI161" s="18">
        <v>-6.1999999999999998E-3</v>
      </c>
      <c r="BJ161" s="18" t="s">
        <v>1474</v>
      </c>
      <c r="BK161" s="157" t="s">
        <v>1620</v>
      </c>
      <c r="BL161" s="18" t="s">
        <v>1459</v>
      </c>
      <c r="BM161" s="121" t="s">
        <v>2029</v>
      </c>
      <c r="BN161" s="18"/>
      <c r="BO161" s="137" t="s">
        <v>1464</v>
      </c>
    </row>
    <row r="162" spans="1:77" s="159" customFormat="1" ht="31.2">
      <c r="A162" s="23" t="b">
        <v>0</v>
      </c>
      <c r="B162" s="57" t="s">
        <v>1476</v>
      </c>
      <c r="C162" s="57" t="s">
        <v>1469</v>
      </c>
      <c r="D162" s="23" t="b">
        <v>0</v>
      </c>
      <c r="E162" s="23" t="b">
        <v>0</v>
      </c>
      <c r="F162" s="31" t="s">
        <v>2030</v>
      </c>
      <c r="G162" s="18" t="s">
        <v>2031</v>
      </c>
      <c r="H162" s="31"/>
      <c r="I162" s="18" t="s">
        <v>245</v>
      </c>
      <c r="J162" s="47" t="s">
        <v>912</v>
      </c>
      <c r="K162" s="47" t="s">
        <v>2024</v>
      </c>
      <c r="L162" s="24" t="s">
        <v>263</v>
      </c>
      <c r="M162" s="24" t="s">
        <v>277</v>
      </c>
      <c r="N162" s="24" t="s">
        <v>289</v>
      </c>
      <c r="O162" s="24" t="s">
        <v>304</v>
      </c>
      <c r="P162" s="24"/>
      <c r="Q162" s="24">
        <v>2040</v>
      </c>
      <c r="R162" s="24" t="s">
        <v>456</v>
      </c>
      <c r="S162" s="24" t="s">
        <v>475</v>
      </c>
      <c r="T162" s="165">
        <v>2025</v>
      </c>
      <c r="U162" s="189">
        <v>9</v>
      </c>
      <c r="V162" s="24" t="str">
        <f t="shared" si="17"/>
        <v>Mature</v>
      </c>
      <c r="W162" s="24"/>
      <c r="X162" s="23" t="b">
        <v>0</v>
      </c>
      <c r="Y162" s="24">
        <v>0.7</v>
      </c>
      <c r="Z162" s="24"/>
      <c r="AA162" s="24" t="s">
        <v>1792</v>
      </c>
      <c r="AB162" s="24" t="s">
        <v>401</v>
      </c>
      <c r="AC162" s="184"/>
      <c r="AD162" s="24"/>
      <c r="AE162" s="24" t="s">
        <v>2025</v>
      </c>
      <c r="AF162" s="24" t="s">
        <v>1482</v>
      </c>
      <c r="AG162" s="24" t="s">
        <v>1739</v>
      </c>
      <c r="AH162" s="24" t="s">
        <v>1739</v>
      </c>
      <c r="AI162" s="18" t="s">
        <v>411</v>
      </c>
      <c r="AJ162" s="18" t="s">
        <v>2026</v>
      </c>
      <c r="AK162" s="18" t="s">
        <v>2026</v>
      </c>
      <c r="AL162" s="18" t="s">
        <v>1485</v>
      </c>
      <c r="AM162" s="184"/>
      <c r="AN162" s="24"/>
      <c r="AO162" s="165">
        <v>0.83</v>
      </c>
      <c r="AP162" s="24">
        <v>300</v>
      </c>
      <c r="AQ162" s="24">
        <v>0</v>
      </c>
      <c r="AR162" s="24">
        <v>25</v>
      </c>
      <c r="AS162" s="24">
        <v>0</v>
      </c>
      <c r="AT162" s="167">
        <v>700</v>
      </c>
      <c r="AU162" s="24">
        <v>0</v>
      </c>
      <c r="AV162" s="111">
        <v>3</v>
      </c>
      <c r="AW162" s="24">
        <f>+AV162*AT162%</f>
        <v>21</v>
      </c>
      <c r="AX162" s="175">
        <v>0</v>
      </c>
      <c r="AY162" s="18"/>
      <c r="AZ162" s="23" t="b">
        <v>0</v>
      </c>
      <c r="BA162" s="24" t="s">
        <v>1456</v>
      </c>
      <c r="BB162" s="349" t="s">
        <v>1741</v>
      </c>
      <c r="BC162" s="349" t="s">
        <v>1089</v>
      </c>
      <c r="BD162" s="350">
        <v>2.0898900000000002E-2</v>
      </c>
      <c r="BE162" s="349" t="s">
        <v>1076</v>
      </c>
      <c r="BF162" s="18" t="s">
        <v>2027</v>
      </c>
      <c r="BG162" s="18" t="s">
        <v>2028</v>
      </c>
      <c r="BH162" s="18">
        <v>-0.40550000000000003</v>
      </c>
      <c r="BI162" s="18">
        <v>-6.1999999999999998E-3</v>
      </c>
      <c r="BJ162" s="18" t="s">
        <v>1474</v>
      </c>
      <c r="BK162" s="157" t="s">
        <v>1620</v>
      </c>
      <c r="BL162" s="18" t="s">
        <v>1459</v>
      </c>
      <c r="BM162" s="121" t="s">
        <v>2029</v>
      </c>
      <c r="BN162" s="18"/>
      <c r="BO162" s="137" t="s">
        <v>1464</v>
      </c>
    </row>
    <row r="163" spans="1:77" ht="31.2">
      <c r="A163" s="23" t="b">
        <v>0</v>
      </c>
      <c r="B163" s="57" t="s">
        <v>1476</v>
      </c>
      <c r="C163" s="57" t="s">
        <v>1469</v>
      </c>
      <c r="D163" s="23" t="b">
        <v>0</v>
      </c>
      <c r="E163" s="23" t="b">
        <v>0</v>
      </c>
      <c r="F163" s="31" t="s">
        <v>2032</v>
      </c>
      <c r="G163" s="18" t="s">
        <v>2033</v>
      </c>
      <c r="I163" s="18" t="s">
        <v>245</v>
      </c>
      <c r="J163" s="47" t="s">
        <v>912</v>
      </c>
      <c r="K163" s="47" t="s">
        <v>2024</v>
      </c>
      <c r="L163" s="24" t="s">
        <v>263</v>
      </c>
      <c r="M163" s="24" t="s">
        <v>277</v>
      </c>
      <c r="N163" s="24" t="s">
        <v>289</v>
      </c>
      <c r="O163" s="24" t="s">
        <v>304</v>
      </c>
      <c r="P163" s="24"/>
      <c r="Q163" s="24">
        <v>2050</v>
      </c>
      <c r="R163" s="24" t="s">
        <v>456</v>
      </c>
      <c r="S163" s="24" t="s">
        <v>475</v>
      </c>
      <c r="T163" s="165">
        <v>2025</v>
      </c>
      <c r="U163" s="189">
        <v>9</v>
      </c>
      <c r="V163" s="24" t="str">
        <f t="shared" si="17"/>
        <v>Mature</v>
      </c>
      <c r="X163" s="23" t="b">
        <v>0</v>
      </c>
      <c r="Y163" s="24">
        <v>0.7</v>
      </c>
      <c r="AA163" s="24" t="s">
        <v>1792</v>
      </c>
      <c r="AB163" s="24" t="s">
        <v>401</v>
      </c>
      <c r="AE163" s="24" t="s">
        <v>2025</v>
      </c>
      <c r="AF163" s="24" t="s">
        <v>1482</v>
      </c>
      <c r="AG163" s="24" t="s">
        <v>1739</v>
      </c>
      <c r="AH163" s="24" t="s">
        <v>1739</v>
      </c>
      <c r="AI163" s="18" t="s">
        <v>411</v>
      </c>
      <c r="AJ163" s="18" t="s">
        <v>2026</v>
      </c>
      <c r="AK163" s="18" t="s">
        <v>2026</v>
      </c>
      <c r="AL163" s="18" t="s">
        <v>1485</v>
      </c>
      <c r="AN163" s="24"/>
      <c r="AO163" s="165">
        <v>0.83</v>
      </c>
      <c r="AP163" s="24">
        <v>300</v>
      </c>
      <c r="AQ163" s="24">
        <v>0</v>
      </c>
      <c r="AR163" s="24">
        <v>25</v>
      </c>
      <c r="AS163" s="24">
        <v>0</v>
      </c>
      <c r="AT163" s="167">
        <v>630</v>
      </c>
      <c r="AU163" s="24">
        <v>0</v>
      </c>
      <c r="AV163" s="111">
        <v>3</v>
      </c>
      <c r="AW163" s="24">
        <f>+AV163*AT163%</f>
        <v>18.899999999999999</v>
      </c>
      <c r="AX163" s="175">
        <v>0</v>
      </c>
      <c r="AZ163" s="23" t="b">
        <v>0</v>
      </c>
      <c r="BA163" s="24" t="s">
        <v>1456</v>
      </c>
      <c r="BB163" s="349" t="s">
        <v>1741</v>
      </c>
      <c r="BC163" s="349" t="s">
        <v>1089</v>
      </c>
      <c r="BD163" s="350">
        <v>1.6415200000000001E-2</v>
      </c>
      <c r="BE163" s="349" t="s">
        <v>1077</v>
      </c>
      <c r="BF163" s="18" t="s">
        <v>2027</v>
      </c>
      <c r="BG163" s="18" t="s">
        <v>2028</v>
      </c>
      <c r="BH163" s="18">
        <v>-0.40550000000000003</v>
      </c>
      <c r="BI163" s="18">
        <v>-6.1999999999999998E-3</v>
      </c>
      <c r="BJ163" s="18" t="s">
        <v>1474</v>
      </c>
      <c r="BK163" s="157" t="s">
        <v>1620</v>
      </c>
      <c r="BL163" s="18" t="s">
        <v>1459</v>
      </c>
      <c r="BM163" s="121" t="s">
        <v>2029</v>
      </c>
      <c r="BO163" s="137" t="s">
        <v>1464</v>
      </c>
    </row>
    <row r="164" spans="1:77" ht="31.2">
      <c r="A164" s="204" t="b">
        <v>1</v>
      </c>
      <c r="B164" s="150" t="s">
        <v>1336</v>
      </c>
      <c r="C164" s="150"/>
      <c r="D164" s="204" t="b">
        <v>0</v>
      </c>
      <c r="E164" s="204" t="b">
        <v>0</v>
      </c>
      <c r="F164" s="206" t="s">
        <v>997</v>
      </c>
      <c r="G164" s="159" t="s">
        <v>996</v>
      </c>
      <c r="H164" s="206"/>
      <c r="I164" s="159" t="s">
        <v>240</v>
      </c>
      <c r="J164" s="207" t="s">
        <v>627</v>
      </c>
      <c r="K164" s="207" t="s">
        <v>1000</v>
      </c>
      <c r="L164" s="150" t="s">
        <v>267</v>
      </c>
      <c r="M164" s="150"/>
      <c r="N164" s="150"/>
      <c r="O164" s="150" t="s">
        <v>628</v>
      </c>
      <c r="P164" s="150"/>
      <c r="Q164" s="150">
        <v>2020</v>
      </c>
      <c r="R164" s="150" t="s">
        <v>456</v>
      </c>
      <c r="S164" s="150" t="s">
        <v>475</v>
      </c>
      <c r="T164" s="150"/>
      <c r="U164" s="208"/>
      <c r="V164" s="150" t="str">
        <f t="shared" si="17"/>
        <v/>
      </c>
      <c r="W164" s="150"/>
      <c r="X164" s="204" t="b">
        <v>0</v>
      </c>
      <c r="Y164" s="150">
        <v>0.93</v>
      </c>
      <c r="Z164" s="150"/>
      <c r="AA164" s="150" t="s">
        <v>431</v>
      </c>
      <c r="AB164" s="150" t="s">
        <v>264</v>
      </c>
      <c r="AC164" s="209"/>
      <c r="AD164" s="150"/>
      <c r="AE164" s="209">
        <v>1</v>
      </c>
      <c r="AF164" s="150" t="s">
        <v>1351</v>
      </c>
      <c r="AG164" s="150" t="s">
        <v>420</v>
      </c>
      <c r="AH164" s="150" t="s">
        <v>420</v>
      </c>
      <c r="AI164" s="150" t="s">
        <v>420</v>
      </c>
      <c r="AJ164" s="209">
        <v>0.93</v>
      </c>
      <c r="AK164" s="209">
        <v>0.93</v>
      </c>
      <c r="AL164" s="150" t="s">
        <v>1351</v>
      </c>
      <c r="AM164" s="209"/>
      <c r="AN164" s="159"/>
      <c r="AO164" s="220" t="s">
        <v>264</v>
      </c>
      <c r="AP164" s="150">
        <v>0</v>
      </c>
      <c r="AQ164" s="150">
        <v>0</v>
      </c>
      <c r="AR164" s="150">
        <v>40</v>
      </c>
      <c r="AS164" s="150">
        <v>0</v>
      </c>
      <c r="AT164" s="227">
        <v>1400</v>
      </c>
      <c r="AU164" s="150">
        <v>0</v>
      </c>
      <c r="AV164" s="150">
        <v>1</v>
      </c>
      <c r="AW164" s="150">
        <f>+AV164%*AT164</f>
        <v>14</v>
      </c>
      <c r="AX164" s="215">
        <v>0</v>
      </c>
      <c r="AY164" s="159"/>
      <c r="AZ164" s="204" t="b">
        <v>0</v>
      </c>
      <c r="BA164" s="150" t="s">
        <v>1533</v>
      </c>
      <c r="BB164" s="351" t="s">
        <v>706</v>
      </c>
      <c r="BC164" s="351" t="s">
        <v>706</v>
      </c>
      <c r="BD164" s="352" t="s">
        <v>706</v>
      </c>
      <c r="BE164" s="351" t="s">
        <v>706</v>
      </c>
      <c r="BF164" s="216" t="s">
        <v>264</v>
      </c>
      <c r="BG164" s="216" t="s">
        <v>264</v>
      </c>
      <c r="BH164" s="216" t="s">
        <v>264</v>
      </c>
      <c r="BI164" s="216" t="s">
        <v>264</v>
      </c>
      <c r="BJ164" s="216" t="s">
        <v>264</v>
      </c>
      <c r="BK164" s="159" t="s">
        <v>1582</v>
      </c>
      <c r="BL164" s="159" t="s">
        <v>1512</v>
      </c>
      <c r="BM164" s="159"/>
      <c r="BN164" s="159"/>
      <c r="BO164" s="137" t="s">
        <v>1583</v>
      </c>
    </row>
    <row r="165" spans="1:77" ht="31.2">
      <c r="A165" s="204" t="b">
        <v>1</v>
      </c>
      <c r="B165" s="150" t="s">
        <v>1336</v>
      </c>
      <c r="C165" s="150"/>
      <c r="D165" s="204" t="b">
        <v>0</v>
      </c>
      <c r="E165" s="204" t="b">
        <v>0</v>
      </c>
      <c r="F165" s="206" t="s">
        <v>1004</v>
      </c>
      <c r="G165" s="159" t="s">
        <v>1003</v>
      </c>
      <c r="H165" s="206"/>
      <c r="I165" s="159" t="s">
        <v>240</v>
      </c>
      <c r="J165" s="207" t="s">
        <v>630</v>
      </c>
      <c r="K165" s="207" t="s">
        <v>1000</v>
      </c>
      <c r="L165" s="150" t="s">
        <v>267</v>
      </c>
      <c r="M165" s="150"/>
      <c r="N165" s="150"/>
      <c r="O165" s="150" t="s">
        <v>628</v>
      </c>
      <c r="P165" s="150"/>
      <c r="Q165" s="150">
        <v>2020</v>
      </c>
      <c r="R165" s="150" t="s">
        <v>456</v>
      </c>
      <c r="S165" s="150" t="s">
        <v>475</v>
      </c>
      <c r="T165" s="150"/>
      <c r="U165" s="208"/>
      <c r="V165" s="150" t="str">
        <f t="shared" si="17"/>
        <v/>
      </c>
      <c r="W165" s="150"/>
      <c r="X165" s="204" t="b">
        <v>0</v>
      </c>
      <c r="Y165" s="150">
        <v>0.93</v>
      </c>
      <c r="Z165" s="150"/>
      <c r="AA165" s="150" t="s">
        <v>437</v>
      </c>
      <c r="AB165" s="150" t="s">
        <v>264</v>
      </c>
      <c r="AC165" s="209"/>
      <c r="AD165" s="150"/>
      <c r="AE165" s="209">
        <v>1</v>
      </c>
      <c r="AF165" s="150" t="s">
        <v>1351</v>
      </c>
      <c r="AG165" s="150" t="s">
        <v>431</v>
      </c>
      <c r="AH165" s="150" t="s">
        <v>431</v>
      </c>
      <c r="AI165" s="150" t="s">
        <v>431</v>
      </c>
      <c r="AJ165" s="209" t="s">
        <v>2034</v>
      </c>
      <c r="AK165" s="209" t="s">
        <v>2034</v>
      </c>
      <c r="AL165" s="150" t="s">
        <v>1351</v>
      </c>
      <c r="AM165" s="209"/>
      <c r="AN165" s="159"/>
      <c r="AO165" s="220" t="s">
        <v>264</v>
      </c>
      <c r="AP165" s="150">
        <v>0</v>
      </c>
      <c r="AQ165" s="150">
        <v>0</v>
      </c>
      <c r="AR165" s="150">
        <v>40</v>
      </c>
      <c r="AS165" s="150">
        <v>0</v>
      </c>
      <c r="AT165" s="227">
        <v>1400</v>
      </c>
      <c r="AU165" s="150">
        <v>0</v>
      </c>
      <c r="AV165" s="150">
        <v>1</v>
      </c>
      <c r="AW165" s="150">
        <f>+AV165%*AT165</f>
        <v>14</v>
      </c>
      <c r="AX165" s="215">
        <v>0</v>
      </c>
      <c r="AY165" s="159"/>
      <c r="AZ165" s="204" t="b">
        <v>0</v>
      </c>
      <c r="BA165" s="150" t="s">
        <v>1533</v>
      </c>
      <c r="BB165" s="351" t="s">
        <v>706</v>
      </c>
      <c r="BC165" s="351" t="s">
        <v>706</v>
      </c>
      <c r="BD165" s="352" t="s">
        <v>706</v>
      </c>
      <c r="BE165" s="351" t="s">
        <v>706</v>
      </c>
      <c r="BF165" s="216" t="s">
        <v>264</v>
      </c>
      <c r="BG165" s="216" t="s">
        <v>264</v>
      </c>
      <c r="BH165" s="216" t="s">
        <v>264</v>
      </c>
      <c r="BI165" s="216" t="s">
        <v>264</v>
      </c>
      <c r="BJ165" s="216" t="s">
        <v>264</v>
      </c>
      <c r="BK165" s="159" t="s">
        <v>1582</v>
      </c>
      <c r="BL165" s="159" t="s">
        <v>1512</v>
      </c>
      <c r="BM165" s="159"/>
      <c r="BN165" s="159"/>
      <c r="BO165" s="137" t="s">
        <v>1583</v>
      </c>
    </row>
    <row r="166" spans="1:77" ht="31.2">
      <c r="A166" s="23" t="b">
        <v>1</v>
      </c>
      <c r="B166" s="57" t="s">
        <v>1336</v>
      </c>
      <c r="C166" s="57"/>
      <c r="D166" s="23" t="b">
        <v>0</v>
      </c>
      <c r="E166" s="23" t="b">
        <v>0</v>
      </c>
      <c r="F166" s="31" t="s">
        <v>849</v>
      </c>
      <c r="G166" s="18" t="s">
        <v>848</v>
      </c>
      <c r="H166" s="145" t="s">
        <v>851</v>
      </c>
      <c r="I166" s="18" t="s">
        <v>249</v>
      </c>
      <c r="J166" s="47" t="s">
        <v>543</v>
      </c>
      <c r="K166" t="s">
        <v>2035</v>
      </c>
      <c r="L166" s="24" t="s">
        <v>258</v>
      </c>
      <c r="M166" s="24" t="s">
        <v>280</v>
      </c>
      <c r="N166" s="24" t="s">
        <v>267</v>
      </c>
      <c r="O166" s="24" t="s">
        <v>304</v>
      </c>
      <c r="P166" s="24">
        <v>1000</v>
      </c>
      <c r="Q166" s="24">
        <v>2050</v>
      </c>
      <c r="R166" s="24" t="s">
        <v>456</v>
      </c>
      <c r="S166" s="24" t="s">
        <v>475</v>
      </c>
      <c r="U166" s="189">
        <v>9</v>
      </c>
      <c r="V166" s="24" t="str">
        <f t="shared" si="17"/>
        <v>Mature</v>
      </c>
      <c r="X166" s="23" t="b">
        <v>0</v>
      </c>
      <c r="Y166" s="24">
        <v>0.33</v>
      </c>
      <c r="AA166" s="24" t="s">
        <v>443</v>
      </c>
      <c r="AB166" s="18" t="s">
        <v>264</v>
      </c>
      <c r="AE166" s="184">
        <v>1</v>
      </c>
      <c r="AF166" s="24" t="s">
        <v>1351</v>
      </c>
      <c r="AG166" s="24" t="s">
        <v>346</v>
      </c>
      <c r="AH166" s="24" t="s">
        <v>1952</v>
      </c>
      <c r="AI166" s="18" t="s">
        <v>346</v>
      </c>
      <c r="AJ166" s="184" t="s">
        <v>2036</v>
      </c>
      <c r="AK166" s="184" t="s">
        <v>2037</v>
      </c>
      <c r="AL166" s="18" t="s">
        <v>1351</v>
      </c>
      <c r="AO166" s="194" t="s">
        <v>264</v>
      </c>
      <c r="AP166" s="24">
        <v>0</v>
      </c>
      <c r="AQ166" s="24">
        <v>800000</v>
      </c>
      <c r="AR166" s="24">
        <v>60</v>
      </c>
      <c r="AS166" s="24">
        <v>0</v>
      </c>
      <c r="AT166" s="166">
        <v>8000</v>
      </c>
      <c r="AU166" s="24">
        <v>0</v>
      </c>
      <c r="AV166" s="111">
        <f t="shared" ref="AV166:AV173" si="20">+AW166/AT166%</f>
        <v>2.5</v>
      </c>
      <c r="AW166" s="24">
        <v>200</v>
      </c>
      <c r="AX166" s="177">
        <v>8.9999999999999993E-3</v>
      </c>
      <c r="AZ166" s="23" t="b">
        <v>0</v>
      </c>
      <c r="BA166" s="24" t="s">
        <v>1456</v>
      </c>
      <c r="BB166" s="349" t="s">
        <v>2038</v>
      </c>
      <c r="BC166" s="349" t="s">
        <v>1081</v>
      </c>
      <c r="BD166" s="350">
        <v>369.51772829999999</v>
      </c>
      <c r="BE166" s="349" t="s">
        <v>1074</v>
      </c>
      <c r="BF166" s="143" t="s">
        <v>264</v>
      </c>
      <c r="BG166" s="143" t="s">
        <v>264</v>
      </c>
      <c r="BH166" s="143" t="s">
        <v>264</v>
      </c>
      <c r="BI166" s="143" t="s">
        <v>264</v>
      </c>
      <c r="BJ166" s="143" t="s">
        <v>264</v>
      </c>
      <c r="BK166" s="18" t="s">
        <v>2039</v>
      </c>
      <c r="BL166" s="18" t="s">
        <v>1459</v>
      </c>
      <c r="BM166" s="95"/>
      <c r="BO166" s="140" t="s">
        <v>1570</v>
      </c>
      <c r="BP166" s="143">
        <v>3750</v>
      </c>
      <c r="BQ166" s="141">
        <f t="shared" ref="BQ166:BQ174" si="21">BP166/AT166-1</f>
        <v>-0.53125</v>
      </c>
      <c r="BR166" s="143">
        <v>85</v>
      </c>
      <c r="BS166" s="141">
        <f t="shared" ref="BS166:BS174" si="22">BR166/AW166-1</f>
        <v>-0.57499999999999996</v>
      </c>
      <c r="BX166" s="143">
        <v>35</v>
      </c>
      <c r="BY166" s="141">
        <f t="shared" ref="BY166:BY174" si="23">BX166/AR166-1</f>
        <v>-0.41666666666666663</v>
      </c>
    </row>
    <row r="167" spans="1:77" ht="25.8">
      <c r="A167" s="204" t="b">
        <v>0</v>
      </c>
      <c r="B167" s="150" t="s">
        <v>264</v>
      </c>
      <c r="C167" s="150"/>
      <c r="D167" s="204" t="b">
        <v>0</v>
      </c>
      <c r="E167" s="204" t="b">
        <v>0</v>
      </c>
      <c r="F167" s="206" t="s">
        <v>945</v>
      </c>
      <c r="G167" s="159" t="s">
        <v>944</v>
      </c>
      <c r="H167" s="206"/>
      <c r="I167" s="159"/>
      <c r="J167" s="207" t="s">
        <v>633</v>
      </c>
      <c r="K167" s="207" t="s">
        <v>747</v>
      </c>
      <c r="L167" s="150" t="s">
        <v>267</v>
      </c>
      <c r="M167" s="150"/>
      <c r="N167" s="150"/>
      <c r="O167" s="150" t="s">
        <v>304</v>
      </c>
      <c r="P167" s="150"/>
      <c r="Q167" s="150" t="s">
        <v>264</v>
      </c>
      <c r="R167" s="150" t="s">
        <v>456</v>
      </c>
      <c r="S167" s="150" t="s">
        <v>475</v>
      </c>
      <c r="T167" s="150"/>
      <c r="U167" s="208"/>
      <c r="V167" s="150" t="str">
        <f t="shared" si="17"/>
        <v/>
      </c>
      <c r="W167" s="150"/>
      <c r="X167" s="204" t="b">
        <v>0</v>
      </c>
      <c r="Y167" s="150"/>
      <c r="Z167" s="150"/>
      <c r="AA167" s="150" t="s">
        <v>420</v>
      </c>
      <c r="AB167" s="150" t="s">
        <v>264</v>
      </c>
      <c r="AC167" s="209"/>
      <c r="AD167" s="150"/>
      <c r="AE167" s="209">
        <v>1</v>
      </c>
      <c r="AF167" s="150" t="s">
        <v>1351</v>
      </c>
      <c r="AG167" s="150" t="s">
        <v>433</v>
      </c>
      <c r="AH167" s="150" t="s">
        <v>433</v>
      </c>
      <c r="AI167" s="150" t="s">
        <v>420</v>
      </c>
      <c r="AJ167" s="209">
        <v>0</v>
      </c>
      <c r="AK167" s="209">
        <v>0</v>
      </c>
      <c r="AL167" s="150" t="s">
        <v>1351</v>
      </c>
      <c r="AM167" s="209"/>
      <c r="AN167" s="159"/>
      <c r="AO167" s="220" t="s">
        <v>264</v>
      </c>
      <c r="AP167" s="150">
        <v>0</v>
      </c>
      <c r="AQ167" s="150">
        <v>0</v>
      </c>
      <c r="AR167" s="150">
        <v>100</v>
      </c>
      <c r="AS167" s="150">
        <v>0</v>
      </c>
      <c r="AT167" s="225">
        <v>1</v>
      </c>
      <c r="AU167" s="150">
        <v>0</v>
      </c>
      <c r="AV167" s="214">
        <f t="shared" si="20"/>
        <v>100</v>
      </c>
      <c r="AW167" s="150">
        <v>1</v>
      </c>
      <c r="AX167" s="226">
        <v>0</v>
      </c>
      <c r="AY167" s="159"/>
      <c r="AZ167" s="204" t="b">
        <v>0</v>
      </c>
      <c r="BA167" s="150"/>
      <c r="BB167" s="351" t="s">
        <v>706</v>
      </c>
      <c r="BC167" s="351" t="s">
        <v>706</v>
      </c>
      <c r="BD167" s="352" t="s">
        <v>706</v>
      </c>
      <c r="BE167" s="351" t="s">
        <v>706</v>
      </c>
      <c r="BF167" s="216" t="s">
        <v>264</v>
      </c>
      <c r="BG167" s="216" t="s">
        <v>264</v>
      </c>
      <c r="BH167" s="216" t="s">
        <v>264</v>
      </c>
      <c r="BI167" s="216" t="s">
        <v>264</v>
      </c>
      <c r="BJ167" s="216" t="s">
        <v>264</v>
      </c>
      <c r="BK167" s="160" t="s">
        <v>2040</v>
      </c>
      <c r="BL167" s="159" t="s">
        <v>1512</v>
      </c>
      <c r="BM167" s="159"/>
      <c r="BN167" s="159"/>
      <c r="BO167" s="137" t="s">
        <v>1583</v>
      </c>
      <c r="BP167" s="143">
        <v>3750</v>
      </c>
      <c r="BQ167" s="141">
        <f t="shared" si="21"/>
        <v>3749</v>
      </c>
      <c r="BR167" s="143">
        <v>85</v>
      </c>
      <c r="BS167" s="141">
        <f t="shared" si="22"/>
        <v>84</v>
      </c>
      <c r="BX167" s="143">
        <v>35</v>
      </c>
      <c r="BY167" s="141">
        <f t="shared" si="23"/>
        <v>-0.65</v>
      </c>
    </row>
    <row r="168" spans="1:77" ht="33.6">
      <c r="A168" s="204" t="b">
        <v>0</v>
      </c>
      <c r="B168" s="150" t="s">
        <v>264</v>
      </c>
      <c r="C168" s="150"/>
      <c r="D168" s="204" t="b">
        <v>0</v>
      </c>
      <c r="E168" s="204" t="b">
        <v>0</v>
      </c>
      <c r="F168" s="206" t="s">
        <v>1007</v>
      </c>
      <c r="G168" s="159" t="s">
        <v>1006</v>
      </c>
      <c r="H168" s="206"/>
      <c r="I168" s="159"/>
      <c r="J168" s="207" t="s">
        <v>638</v>
      </c>
      <c r="K168" s="207" t="s">
        <v>747</v>
      </c>
      <c r="L168" s="150" t="s">
        <v>267</v>
      </c>
      <c r="M168" s="150"/>
      <c r="N168" s="150"/>
      <c r="O168" s="150" t="s">
        <v>304</v>
      </c>
      <c r="P168" s="150"/>
      <c r="Q168" s="150" t="s">
        <v>264</v>
      </c>
      <c r="R168" s="150" t="s">
        <v>456</v>
      </c>
      <c r="S168" s="150" t="s">
        <v>475</v>
      </c>
      <c r="T168" s="150"/>
      <c r="U168" s="208"/>
      <c r="V168" s="150" t="str">
        <f t="shared" si="17"/>
        <v/>
      </c>
      <c r="W168" s="150"/>
      <c r="X168" s="204" t="b">
        <v>0</v>
      </c>
      <c r="Y168" s="150"/>
      <c r="Z168" s="150"/>
      <c r="AA168" s="150" t="s">
        <v>431</v>
      </c>
      <c r="AB168" s="150" t="s">
        <v>264</v>
      </c>
      <c r="AC168" s="209"/>
      <c r="AD168" s="150"/>
      <c r="AE168" s="209">
        <v>1</v>
      </c>
      <c r="AF168" s="150" t="s">
        <v>1351</v>
      </c>
      <c r="AG168" s="150" t="s">
        <v>445</v>
      </c>
      <c r="AH168" s="150" t="s">
        <v>445</v>
      </c>
      <c r="AI168" s="150" t="s">
        <v>431</v>
      </c>
      <c r="AJ168" s="209">
        <v>0</v>
      </c>
      <c r="AK168" s="209">
        <v>0</v>
      </c>
      <c r="AL168" s="150" t="s">
        <v>1351</v>
      </c>
      <c r="AM168" s="209"/>
      <c r="AN168" s="159"/>
      <c r="AO168" s="220" t="s">
        <v>264</v>
      </c>
      <c r="AP168" s="150">
        <v>0</v>
      </c>
      <c r="AQ168" s="150">
        <v>0</v>
      </c>
      <c r="AR168" s="150">
        <v>100</v>
      </c>
      <c r="AS168" s="150">
        <v>0</v>
      </c>
      <c r="AT168" s="225">
        <v>1</v>
      </c>
      <c r="AU168" s="150">
        <v>0</v>
      </c>
      <c r="AV168" s="214">
        <f t="shared" si="20"/>
        <v>100</v>
      </c>
      <c r="AW168" s="150">
        <v>1</v>
      </c>
      <c r="AX168" s="226">
        <v>0</v>
      </c>
      <c r="AY168" s="159"/>
      <c r="AZ168" s="204" t="b">
        <v>0</v>
      </c>
      <c r="BA168" s="150"/>
      <c r="BB168" s="351" t="s">
        <v>706</v>
      </c>
      <c r="BC168" s="351" t="s">
        <v>706</v>
      </c>
      <c r="BD168" s="352" t="s">
        <v>706</v>
      </c>
      <c r="BE168" s="351" t="s">
        <v>706</v>
      </c>
      <c r="BF168" s="216" t="s">
        <v>264</v>
      </c>
      <c r="BG168" s="216" t="s">
        <v>264</v>
      </c>
      <c r="BH168" s="216" t="s">
        <v>264</v>
      </c>
      <c r="BI168" s="216" t="s">
        <v>264</v>
      </c>
      <c r="BJ168" s="216" t="s">
        <v>264</v>
      </c>
      <c r="BK168" s="160" t="s">
        <v>2040</v>
      </c>
      <c r="BL168" s="159" t="s">
        <v>1512</v>
      </c>
      <c r="BM168" s="159"/>
      <c r="BN168" s="159"/>
      <c r="BO168" s="137" t="s">
        <v>1583</v>
      </c>
      <c r="BP168" s="143">
        <v>3750</v>
      </c>
      <c r="BQ168" s="141">
        <f t="shared" si="21"/>
        <v>3749</v>
      </c>
      <c r="BR168" s="143">
        <v>85</v>
      </c>
      <c r="BS168" s="141">
        <f t="shared" si="22"/>
        <v>84</v>
      </c>
      <c r="BX168" s="143">
        <v>35</v>
      </c>
      <c r="BY168" s="141">
        <f t="shared" si="23"/>
        <v>-0.65</v>
      </c>
    </row>
    <row r="169" spans="1:77" ht="25.8">
      <c r="A169" s="204" t="b">
        <v>0</v>
      </c>
      <c r="B169" s="150" t="s">
        <v>264</v>
      </c>
      <c r="C169" s="150"/>
      <c r="D169" s="204" t="b">
        <v>0</v>
      </c>
      <c r="E169" s="204" t="b">
        <v>0</v>
      </c>
      <c r="F169" s="206" t="s">
        <v>1010</v>
      </c>
      <c r="G169" s="159" t="s">
        <v>1009</v>
      </c>
      <c r="H169" s="206"/>
      <c r="I169" s="159"/>
      <c r="J169" s="207" t="s">
        <v>636</v>
      </c>
      <c r="K169" s="207" t="s">
        <v>747</v>
      </c>
      <c r="L169" s="150" t="s">
        <v>267</v>
      </c>
      <c r="M169" s="150"/>
      <c r="N169" s="150"/>
      <c r="O169" s="150" t="s">
        <v>304</v>
      </c>
      <c r="P169" s="150"/>
      <c r="Q169" s="150" t="s">
        <v>264</v>
      </c>
      <c r="R169" s="150" t="s">
        <v>456</v>
      </c>
      <c r="S169" s="150" t="s">
        <v>475</v>
      </c>
      <c r="T169" s="150"/>
      <c r="U169" s="208"/>
      <c r="V169" s="150" t="str">
        <f t="shared" si="17"/>
        <v/>
      </c>
      <c r="W169" s="150"/>
      <c r="X169" s="204" t="b">
        <v>0</v>
      </c>
      <c r="Y169" s="150"/>
      <c r="Z169" s="150"/>
      <c r="AA169" s="150" t="s">
        <v>433</v>
      </c>
      <c r="AB169" s="150" t="s">
        <v>264</v>
      </c>
      <c r="AC169" s="209"/>
      <c r="AD169" s="150"/>
      <c r="AE169" s="209">
        <v>1</v>
      </c>
      <c r="AF169" s="150" t="s">
        <v>1351</v>
      </c>
      <c r="AG169" s="150" t="s">
        <v>431</v>
      </c>
      <c r="AH169" s="150" t="s">
        <v>431</v>
      </c>
      <c r="AI169" s="150" t="s">
        <v>433</v>
      </c>
      <c r="AJ169" s="209">
        <v>0</v>
      </c>
      <c r="AK169" s="209">
        <v>0</v>
      </c>
      <c r="AL169" s="150" t="s">
        <v>1351</v>
      </c>
      <c r="AM169" s="209"/>
      <c r="AN169" s="159"/>
      <c r="AO169" s="220" t="s">
        <v>264</v>
      </c>
      <c r="AP169" s="150">
        <v>0</v>
      </c>
      <c r="AQ169" s="150">
        <v>0</v>
      </c>
      <c r="AR169" s="150">
        <v>100</v>
      </c>
      <c r="AS169" s="150">
        <v>0</v>
      </c>
      <c r="AT169" s="225">
        <v>1</v>
      </c>
      <c r="AU169" s="150">
        <v>0</v>
      </c>
      <c r="AV169" s="214">
        <f t="shared" si="20"/>
        <v>100</v>
      </c>
      <c r="AW169" s="150">
        <v>1</v>
      </c>
      <c r="AX169" s="226">
        <v>0</v>
      </c>
      <c r="AY169" s="159"/>
      <c r="AZ169" s="204" t="b">
        <v>0</v>
      </c>
      <c r="BA169" s="150"/>
      <c r="BB169" s="351" t="s">
        <v>706</v>
      </c>
      <c r="BC169" s="351" t="s">
        <v>706</v>
      </c>
      <c r="BD169" s="352" t="s">
        <v>706</v>
      </c>
      <c r="BE169" s="351" t="s">
        <v>706</v>
      </c>
      <c r="BF169" s="216" t="s">
        <v>264</v>
      </c>
      <c r="BG169" s="216" t="s">
        <v>264</v>
      </c>
      <c r="BH169" s="216" t="s">
        <v>264</v>
      </c>
      <c r="BI169" s="216" t="s">
        <v>264</v>
      </c>
      <c r="BJ169" s="216" t="s">
        <v>264</v>
      </c>
      <c r="BK169" s="160" t="s">
        <v>2040</v>
      </c>
      <c r="BL169" s="159" t="s">
        <v>1512</v>
      </c>
      <c r="BM169" s="159"/>
      <c r="BN169" s="159"/>
      <c r="BO169" s="137" t="s">
        <v>1583</v>
      </c>
      <c r="BP169" s="143">
        <v>3750</v>
      </c>
      <c r="BQ169" s="141">
        <f t="shared" si="21"/>
        <v>3749</v>
      </c>
      <c r="BR169" s="143">
        <v>85</v>
      </c>
      <c r="BS169" s="141">
        <f t="shared" si="22"/>
        <v>84</v>
      </c>
      <c r="BX169" s="143">
        <v>35</v>
      </c>
      <c r="BY169" s="141">
        <f t="shared" si="23"/>
        <v>-0.65</v>
      </c>
    </row>
    <row r="170" spans="1:77" ht="44.1" customHeight="1">
      <c r="A170" s="204" t="b">
        <v>0</v>
      </c>
      <c r="B170" s="150" t="s">
        <v>264</v>
      </c>
      <c r="C170" s="150"/>
      <c r="D170" s="204" t="b">
        <v>0</v>
      </c>
      <c r="E170" s="204" t="b">
        <v>0</v>
      </c>
      <c r="F170" s="206" t="s">
        <v>1012</v>
      </c>
      <c r="G170" s="159" t="s">
        <v>1011</v>
      </c>
      <c r="H170" s="206"/>
      <c r="I170" s="159"/>
      <c r="J170" s="207" t="s">
        <v>640</v>
      </c>
      <c r="K170" s="207" t="s">
        <v>747</v>
      </c>
      <c r="L170" s="150" t="s">
        <v>267</v>
      </c>
      <c r="M170" s="150"/>
      <c r="N170" s="150"/>
      <c r="O170" s="150" t="s">
        <v>304</v>
      </c>
      <c r="P170" s="150"/>
      <c r="Q170" s="150" t="s">
        <v>264</v>
      </c>
      <c r="R170" s="150" t="s">
        <v>456</v>
      </c>
      <c r="S170" s="150" t="s">
        <v>475</v>
      </c>
      <c r="T170" s="150"/>
      <c r="U170" s="208"/>
      <c r="V170" s="150" t="str">
        <f t="shared" si="17"/>
        <v/>
      </c>
      <c r="W170" s="150"/>
      <c r="X170" s="204" t="b">
        <v>0</v>
      </c>
      <c r="Y170" s="150"/>
      <c r="Z170" s="150"/>
      <c r="AA170" s="150" t="s">
        <v>445</v>
      </c>
      <c r="AB170" s="150" t="s">
        <v>264</v>
      </c>
      <c r="AC170" s="209"/>
      <c r="AD170" s="150"/>
      <c r="AE170" s="209">
        <v>1</v>
      </c>
      <c r="AF170" s="150" t="s">
        <v>1351</v>
      </c>
      <c r="AG170" s="150" t="s">
        <v>431</v>
      </c>
      <c r="AH170" s="150" t="s">
        <v>431</v>
      </c>
      <c r="AI170" s="150" t="s">
        <v>445</v>
      </c>
      <c r="AJ170" s="209">
        <v>0</v>
      </c>
      <c r="AK170" s="209">
        <v>0</v>
      </c>
      <c r="AL170" s="150" t="s">
        <v>1351</v>
      </c>
      <c r="AM170" s="209"/>
      <c r="AN170" s="159"/>
      <c r="AO170" s="220" t="s">
        <v>264</v>
      </c>
      <c r="AP170" s="150">
        <v>0</v>
      </c>
      <c r="AQ170" s="150">
        <v>0</v>
      </c>
      <c r="AR170" s="150">
        <v>100</v>
      </c>
      <c r="AS170" s="150">
        <v>0</v>
      </c>
      <c r="AT170" s="225">
        <v>1</v>
      </c>
      <c r="AU170" s="150">
        <v>0</v>
      </c>
      <c r="AV170" s="214">
        <f t="shared" si="20"/>
        <v>100</v>
      </c>
      <c r="AW170" s="150">
        <v>1</v>
      </c>
      <c r="AX170" s="226">
        <v>0</v>
      </c>
      <c r="AY170" s="159"/>
      <c r="AZ170" s="204" t="b">
        <v>0</v>
      </c>
      <c r="BA170" s="150"/>
      <c r="BB170" s="351" t="s">
        <v>706</v>
      </c>
      <c r="BC170" s="351" t="s">
        <v>706</v>
      </c>
      <c r="BD170" s="352" t="s">
        <v>706</v>
      </c>
      <c r="BE170" s="351" t="s">
        <v>706</v>
      </c>
      <c r="BF170" s="216" t="s">
        <v>264</v>
      </c>
      <c r="BG170" s="216" t="s">
        <v>264</v>
      </c>
      <c r="BH170" s="216" t="s">
        <v>264</v>
      </c>
      <c r="BI170" s="216" t="s">
        <v>264</v>
      </c>
      <c r="BJ170" s="216" t="s">
        <v>264</v>
      </c>
      <c r="BK170" s="160" t="s">
        <v>2040</v>
      </c>
      <c r="BL170" s="159" t="s">
        <v>1512</v>
      </c>
      <c r="BM170" s="159"/>
      <c r="BN170" s="159"/>
      <c r="BO170" s="137" t="s">
        <v>1583</v>
      </c>
      <c r="BP170" s="143">
        <v>3750</v>
      </c>
      <c r="BQ170" s="141">
        <f t="shared" si="21"/>
        <v>3749</v>
      </c>
      <c r="BR170" s="143">
        <v>85</v>
      </c>
      <c r="BS170" s="141">
        <f t="shared" si="22"/>
        <v>84</v>
      </c>
      <c r="BX170" s="143">
        <v>35</v>
      </c>
      <c r="BY170" s="141">
        <f t="shared" si="23"/>
        <v>-0.65</v>
      </c>
    </row>
    <row r="171" spans="1:77" ht="44.1" customHeight="1">
      <c r="A171" s="23" t="b">
        <v>0</v>
      </c>
      <c r="B171" s="57" t="s">
        <v>2041</v>
      </c>
      <c r="C171" s="57" t="s">
        <v>1476</v>
      </c>
      <c r="D171" s="23" t="b">
        <v>0</v>
      </c>
      <c r="E171" s="23" t="b">
        <v>0</v>
      </c>
      <c r="F171" s="18" t="s">
        <v>2042</v>
      </c>
      <c r="G171" s="18" t="s">
        <v>2043</v>
      </c>
      <c r="I171" s="18" t="s">
        <v>248</v>
      </c>
      <c r="J171" s="47" t="s">
        <v>497</v>
      </c>
      <c r="K171" s="47" t="s">
        <v>884</v>
      </c>
      <c r="L171" s="24" t="s">
        <v>266</v>
      </c>
      <c r="M171" s="24" t="s">
        <v>273</v>
      </c>
      <c r="N171" s="24" t="s">
        <v>285</v>
      </c>
      <c r="O171" s="24" t="s">
        <v>304</v>
      </c>
      <c r="P171" s="24"/>
      <c r="Q171" s="24">
        <v>2030</v>
      </c>
      <c r="R171" s="24" t="s">
        <v>456</v>
      </c>
      <c r="S171" s="24" t="s">
        <v>475</v>
      </c>
      <c r="T171" s="165">
        <v>2025</v>
      </c>
      <c r="U171" s="191" t="s">
        <v>2044</v>
      </c>
      <c r="V171" s="24" t="str">
        <f t="shared" si="17"/>
        <v>Emerging</v>
      </c>
      <c r="W171" s="24" t="s">
        <v>1447</v>
      </c>
      <c r="X171" s="23" t="b">
        <v>0</v>
      </c>
      <c r="AA171" s="24" t="s">
        <v>2045</v>
      </c>
      <c r="AB171" s="24" t="s">
        <v>413</v>
      </c>
      <c r="AE171" s="163" t="s">
        <v>2046</v>
      </c>
      <c r="AF171" s="163" t="s">
        <v>1485</v>
      </c>
      <c r="AG171" s="163" t="s">
        <v>1607</v>
      </c>
      <c r="AH171" s="163" t="s">
        <v>1607</v>
      </c>
      <c r="AI171" s="164" t="s">
        <v>401</v>
      </c>
      <c r="AJ171" s="232" t="s">
        <v>2047</v>
      </c>
      <c r="AK171" s="163" t="s">
        <v>2047</v>
      </c>
      <c r="AL171" s="163" t="s">
        <v>1482</v>
      </c>
      <c r="AM171" s="123"/>
      <c r="AN171" s="123"/>
      <c r="AO171" s="197">
        <v>0.78200000000000003</v>
      </c>
      <c r="AP171" s="24">
        <v>0</v>
      </c>
      <c r="AQ171" s="24">
        <v>0</v>
      </c>
      <c r="AR171" s="24">
        <v>30</v>
      </c>
      <c r="AS171" s="24">
        <v>0</v>
      </c>
      <c r="AT171" s="167">
        <v>1500</v>
      </c>
      <c r="AU171" s="24">
        <v>0</v>
      </c>
      <c r="AV171" s="111">
        <f t="shared" si="20"/>
        <v>5.333333333333333</v>
      </c>
      <c r="AW171" s="24">
        <v>80</v>
      </c>
      <c r="AX171" s="175">
        <v>0</v>
      </c>
      <c r="AZ171" s="23" t="b">
        <v>0</v>
      </c>
      <c r="BA171" s="24"/>
      <c r="BB171" s="349" t="s">
        <v>2048</v>
      </c>
      <c r="BC171" s="349" t="s">
        <v>1089</v>
      </c>
      <c r="BD171" s="350">
        <v>2.041E-4</v>
      </c>
      <c r="BE171" s="349" t="s">
        <v>1075</v>
      </c>
      <c r="BF171" s="18" t="str">
        <f>IF(AE171="na","na","needs value")</f>
        <v>needs value</v>
      </c>
      <c r="BG171" s="18" t="str">
        <f>IF(AJ171="na","na","needs value")</f>
        <v>needs value</v>
      </c>
      <c r="BH171" s="143" t="s">
        <v>264</v>
      </c>
      <c r="BI171" s="143" t="s">
        <v>264</v>
      </c>
      <c r="BJ171" s="143" t="s">
        <v>264</v>
      </c>
      <c r="BK171" s="18" t="s">
        <v>2049</v>
      </c>
      <c r="BL171" s="18" t="s">
        <v>1459</v>
      </c>
      <c r="BM171" s="159" t="s">
        <v>2050</v>
      </c>
      <c r="BO171" s="137" t="s">
        <v>2051</v>
      </c>
      <c r="BP171" s="143">
        <v>3750</v>
      </c>
      <c r="BQ171" s="141">
        <f t="shared" si="21"/>
        <v>1.5</v>
      </c>
      <c r="BR171" s="143">
        <v>85</v>
      </c>
      <c r="BS171" s="141">
        <f t="shared" si="22"/>
        <v>6.25E-2</v>
      </c>
      <c r="BX171" s="143">
        <v>35</v>
      </c>
      <c r="BY171" s="141">
        <f t="shared" si="23"/>
        <v>0.16666666666666674</v>
      </c>
    </row>
    <row r="172" spans="1:77" ht="47.85" customHeight="1">
      <c r="A172" s="204" t="b">
        <v>0</v>
      </c>
      <c r="B172" s="150" t="s">
        <v>264</v>
      </c>
      <c r="C172" s="150"/>
      <c r="D172" s="204" t="b">
        <v>0</v>
      </c>
      <c r="E172" s="204" t="b">
        <v>0</v>
      </c>
      <c r="F172" s="206" t="s">
        <v>2052</v>
      </c>
      <c r="G172" s="159" t="s">
        <v>2053</v>
      </c>
      <c r="H172" s="206"/>
      <c r="I172" s="159" t="s">
        <v>227</v>
      </c>
      <c r="J172" s="207" t="s">
        <v>670</v>
      </c>
      <c r="K172" s="147" t="s">
        <v>1545</v>
      </c>
      <c r="L172" s="150" t="s">
        <v>264</v>
      </c>
      <c r="M172" s="150"/>
      <c r="N172" s="150"/>
      <c r="O172" s="150" t="s">
        <v>304</v>
      </c>
      <c r="P172" s="150"/>
      <c r="Q172" s="150">
        <v>2050</v>
      </c>
      <c r="R172" s="150" t="s">
        <v>456</v>
      </c>
      <c r="S172" s="150" t="s">
        <v>475</v>
      </c>
      <c r="T172" s="150"/>
      <c r="U172" s="208"/>
      <c r="V172" s="150" t="str">
        <f t="shared" si="17"/>
        <v/>
      </c>
      <c r="W172" s="150"/>
      <c r="X172" s="204" t="b">
        <v>0</v>
      </c>
      <c r="Y172" s="150"/>
      <c r="Z172" s="150"/>
      <c r="AA172" s="150" t="s">
        <v>386</v>
      </c>
      <c r="AB172" s="150" t="s">
        <v>386</v>
      </c>
      <c r="AC172" s="209"/>
      <c r="AD172" s="150"/>
      <c r="AE172" s="209">
        <v>1</v>
      </c>
      <c r="AF172" s="150" t="s">
        <v>1451</v>
      </c>
      <c r="AG172" s="150" t="s">
        <v>386</v>
      </c>
      <c r="AH172" s="150" t="s">
        <v>386</v>
      </c>
      <c r="AI172" s="150" t="s">
        <v>386</v>
      </c>
      <c r="AJ172" s="209">
        <v>0</v>
      </c>
      <c r="AK172" s="209">
        <v>0</v>
      </c>
      <c r="AL172" s="150" t="s">
        <v>1451</v>
      </c>
      <c r="AM172" s="209"/>
      <c r="AN172" s="159"/>
      <c r="AO172" s="220" t="s">
        <v>264</v>
      </c>
      <c r="AP172" s="150">
        <v>0</v>
      </c>
      <c r="AQ172" s="150">
        <v>0</v>
      </c>
      <c r="AR172" s="150">
        <v>100</v>
      </c>
      <c r="AS172" s="150">
        <v>0</v>
      </c>
      <c r="AT172" s="225">
        <v>1</v>
      </c>
      <c r="AU172" s="150">
        <v>0</v>
      </c>
      <c r="AV172" s="214">
        <f t="shared" si="20"/>
        <v>0</v>
      </c>
      <c r="AW172" s="150">
        <v>0</v>
      </c>
      <c r="AX172" s="226">
        <v>1E-3</v>
      </c>
      <c r="AY172" s="159"/>
      <c r="AZ172" s="204" t="b">
        <v>0</v>
      </c>
      <c r="BA172" s="150"/>
      <c r="BB172" s="351" t="s">
        <v>706</v>
      </c>
      <c r="BC172" s="351" t="s">
        <v>706</v>
      </c>
      <c r="BD172" s="352" t="s">
        <v>706</v>
      </c>
      <c r="BE172" s="351" t="s">
        <v>706</v>
      </c>
      <c r="BF172" s="159" t="s">
        <v>264</v>
      </c>
      <c r="BG172" s="159" t="s">
        <v>264</v>
      </c>
      <c r="BH172" s="159" t="s">
        <v>264</v>
      </c>
      <c r="BI172" s="159" t="s">
        <v>264</v>
      </c>
      <c r="BJ172" s="159" t="s">
        <v>264</v>
      </c>
      <c r="BK172" s="160" t="s">
        <v>1630</v>
      </c>
      <c r="BL172" s="159" t="s">
        <v>1512</v>
      </c>
      <c r="BM172" s="159"/>
      <c r="BN172" s="159"/>
      <c r="BO172" s="137" t="s">
        <v>1464</v>
      </c>
      <c r="BP172" s="143">
        <v>3750</v>
      </c>
      <c r="BQ172" s="141">
        <f t="shared" si="21"/>
        <v>3749</v>
      </c>
      <c r="BR172" s="143">
        <v>85</v>
      </c>
      <c r="BS172" s="141" t="e">
        <f t="shared" si="22"/>
        <v>#DIV/0!</v>
      </c>
      <c r="BX172" s="143">
        <v>35</v>
      </c>
      <c r="BY172" s="141">
        <f t="shared" si="23"/>
        <v>-0.65</v>
      </c>
    </row>
    <row r="173" spans="1:77" ht="51.6" customHeight="1">
      <c r="A173" s="23" t="b">
        <v>0</v>
      </c>
      <c r="B173" s="57" t="s">
        <v>2041</v>
      </c>
      <c r="C173" s="57" t="s">
        <v>1476</v>
      </c>
      <c r="D173" s="23" t="b">
        <v>0</v>
      </c>
      <c r="E173" s="23" t="b">
        <v>0</v>
      </c>
      <c r="F173" s="18" t="s">
        <v>2054</v>
      </c>
      <c r="G173" s="18" t="s">
        <v>2055</v>
      </c>
      <c r="I173" s="18" t="s">
        <v>242</v>
      </c>
      <c r="J173" s="47" t="s">
        <v>650</v>
      </c>
      <c r="K173" s="47" t="s">
        <v>884</v>
      </c>
      <c r="L173" s="24" t="s">
        <v>260</v>
      </c>
      <c r="M173" s="24" t="s">
        <v>273</v>
      </c>
      <c r="N173" s="24" t="s">
        <v>285</v>
      </c>
      <c r="O173" s="24" t="s">
        <v>304</v>
      </c>
      <c r="P173" s="24"/>
      <c r="Q173" s="24">
        <v>2030</v>
      </c>
      <c r="R173" s="24" t="s">
        <v>456</v>
      </c>
      <c r="S173" s="24" t="s">
        <v>475</v>
      </c>
      <c r="T173" s="165">
        <v>2025</v>
      </c>
      <c r="U173" s="192" t="s">
        <v>2056</v>
      </c>
      <c r="V173" s="24" t="str">
        <f t="shared" si="17"/>
        <v>Prototype</v>
      </c>
      <c r="W173" s="24" t="s">
        <v>1447</v>
      </c>
      <c r="X173" s="23" t="b">
        <v>0</v>
      </c>
      <c r="AA173" s="24" t="s">
        <v>2057</v>
      </c>
      <c r="AB173" s="24" t="s">
        <v>413</v>
      </c>
      <c r="AE173" s="163" t="s">
        <v>2046</v>
      </c>
      <c r="AF173" s="163" t="s">
        <v>1485</v>
      </c>
      <c r="AG173" s="163" t="s">
        <v>1607</v>
      </c>
      <c r="AH173" s="163" t="s">
        <v>1607</v>
      </c>
      <c r="AI173" s="164" t="s">
        <v>396</v>
      </c>
      <c r="AJ173" s="232" t="s">
        <v>2047</v>
      </c>
      <c r="AK173" s="163" t="s">
        <v>2047</v>
      </c>
      <c r="AL173" s="163" t="s">
        <v>1482</v>
      </c>
      <c r="AM173" s="123"/>
      <c r="AN173" s="123"/>
      <c r="AO173" s="197">
        <v>0.78200000000000003</v>
      </c>
      <c r="AP173" s="24">
        <v>0</v>
      </c>
      <c r="AQ173" s="24">
        <v>0</v>
      </c>
      <c r="AR173" s="24">
        <v>30</v>
      </c>
      <c r="AS173" s="24">
        <v>0</v>
      </c>
      <c r="AT173" s="167">
        <v>1600</v>
      </c>
      <c r="AU173" s="24">
        <v>0</v>
      </c>
      <c r="AV173" s="111">
        <f t="shared" si="20"/>
        <v>5</v>
      </c>
      <c r="AW173" s="24">
        <v>80</v>
      </c>
      <c r="AX173" s="175">
        <v>0</v>
      </c>
      <c r="AZ173" s="23" t="b">
        <v>0</v>
      </c>
      <c r="BA173" s="24"/>
      <c r="BB173" s="349" t="s">
        <v>2048</v>
      </c>
      <c r="BC173" s="349" t="s">
        <v>1089</v>
      </c>
      <c r="BD173" s="350">
        <v>2.041E-4</v>
      </c>
      <c r="BE173" s="349" t="s">
        <v>1075</v>
      </c>
      <c r="BF173" s="18" t="str">
        <f>IF(AE173="na","na","needs value")</f>
        <v>needs value</v>
      </c>
      <c r="BG173" s="18" t="str">
        <f>IF(AJ173="na","na","needs value")</f>
        <v>needs value</v>
      </c>
      <c r="BH173" s="143" t="s">
        <v>264</v>
      </c>
      <c r="BI173" s="143" t="s">
        <v>264</v>
      </c>
      <c r="BJ173" s="143" t="s">
        <v>264</v>
      </c>
      <c r="BK173" s="18" t="s">
        <v>2058</v>
      </c>
      <c r="BL173" s="18" t="s">
        <v>1459</v>
      </c>
      <c r="BM173" s="159" t="s">
        <v>2050</v>
      </c>
      <c r="BO173" s="137" t="s">
        <v>2051</v>
      </c>
      <c r="BP173" s="143">
        <v>3750</v>
      </c>
      <c r="BQ173" s="141">
        <f t="shared" si="21"/>
        <v>1.34375</v>
      </c>
      <c r="BR173" s="143">
        <v>85</v>
      </c>
      <c r="BS173" s="141">
        <f t="shared" si="22"/>
        <v>6.25E-2</v>
      </c>
      <c r="BX173" s="143">
        <v>35</v>
      </c>
      <c r="BY173" s="141">
        <f t="shared" si="23"/>
        <v>0.16666666666666674</v>
      </c>
    </row>
    <row r="174" spans="1:77" s="159" customFormat="1" ht="55.35" customHeight="1">
      <c r="A174" s="23" t="b">
        <v>1</v>
      </c>
      <c r="B174" s="107" t="s">
        <v>1536</v>
      </c>
      <c r="C174" s="57" t="s">
        <v>1336</v>
      </c>
      <c r="D174" s="23" t="b">
        <v>0</v>
      </c>
      <c r="E174" s="23" t="b">
        <v>0</v>
      </c>
      <c r="F174" s="31" t="s">
        <v>2059</v>
      </c>
      <c r="G174" s="18" t="s">
        <v>2060</v>
      </c>
      <c r="H174" s="31"/>
      <c r="I174" s="18" t="s">
        <v>252</v>
      </c>
      <c r="J174" s="47" t="s">
        <v>699</v>
      </c>
      <c r="K174" s="47" t="s">
        <v>700</v>
      </c>
      <c r="L174" s="24" t="s">
        <v>258</v>
      </c>
      <c r="M174" s="24" t="s">
        <v>278</v>
      </c>
      <c r="N174" s="24" t="s">
        <v>301</v>
      </c>
      <c r="O174" s="24" t="s">
        <v>304</v>
      </c>
      <c r="P174" s="24"/>
      <c r="Q174" s="24">
        <v>2020</v>
      </c>
      <c r="R174" s="24" t="s">
        <v>456</v>
      </c>
      <c r="S174" s="24" t="s">
        <v>475</v>
      </c>
      <c r="T174" s="24"/>
      <c r="U174" s="189">
        <v>9</v>
      </c>
      <c r="V174" s="24" t="str">
        <f t="shared" si="17"/>
        <v>Mature</v>
      </c>
      <c r="W174" s="24" t="s">
        <v>1350</v>
      </c>
      <c r="X174" s="23" t="b">
        <v>0</v>
      </c>
      <c r="Y174" s="24">
        <v>0.45</v>
      </c>
      <c r="Z174" s="24"/>
      <c r="AA174" s="24" t="s">
        <v>360</v>
      </c>
      <c r="AB174" s="24" t="s">
        <v>264</v>
      </c>
      <c r="AC174" s="184"/>
      <c r="AD174" s="24"/>
      <c r="AE174" s="184">
        <v>1</v>
      </c>
      <c r="AF174" s="24" t="s">
        <v>1351</v>
      </c>
      <c r="AG174" s="24" t="s">
        <v>346</v>
      </c>
      <c r="AH174" s="24" t="s">
        <v>346</v>
      </c>
      <c r="AI174" s="24" t="s">
        <v>346</v>
      </c>
      <c r="AJ174" s="184">
        <v>1</v>
      </c>
      <c r="AK174" s="184">
        <v>1</v>
      </c>
      <c r="AL174" s="24" t="s">
        <v>1351</v>
      </c>
      <c r="AM174" s="184"/>
      <c r="AN174" s="18"/>
      <c r="AO174" s="165" t="s">
        <v>264</v>
      </c>
      <c r="AP174" s="24">
        <v>0</v>
      </c>
      <c r="AQ174" s="24">
        <v>0</v>
      </c>
      <c r="AR174" s="24">
        <v>25</v>
      </c>
      <c r="AS174" s="24">
        <v>0</v>
      </c>
      <c r="AT174" s="171">
        <v>2500</v>
      </c>
      <c r="AU174" s="24">
        <v>0</v>
      </c>
      <c r="AV174" s="111">
        <v>2.2666666666666666</v>
      </c>
      <c r="AW174" s="18">
        <v>39</v>
      </c>
      <c r="AX174" s="177">
        <v>0</v>
      </c>
      <c r="AY174" s="18"/>
      <c r="AZ174" s="23" t="b">
        <v>0</v>
      </c>
      <c r="BA174" s="24" t="s">
        <v>1533</v>
      </c>
      <c r="BB174" s="349" t="s">
        <v>2061</v>
      </c>
      <c r="BC174" s="349" t="s">
        <v>1081</v>
      </c>
      <c r="BD174" s="350">
        <v>579.12487650000003</v>
      </c>
      <c r="BE174" s="349" t="s">
        <v>1074</v>
      </c>
      <c r="BF174" s="18" t="s">
        <v>264</v>
      </c>
      <c r="BG174" s="18" t="s">
        <v>264</v>
      </c>
      <c r="BH174" s="18" t="s">
        <v>264</v>
      </c>
      <c r="BI174" s="18" t="s">
        <v>264</v>
      </c>
      <c r="BJ174" s="18" t="s">
        <v>264</v>
      </c>
      <c r="BK174" s="18" t="s">
        <v>2062</v>
      </c>
      <c r="BL174" s="18" t="s">
        <v>1459</v>
      </c>
      <c r="BM174" s="95"/>
      <c r="BN174" s="18"/>
      <c r="BO174" s="115" t="s">
        <v>1629</v>
      </c>
      <c r="BP174" s="216">
        <v>3750</v>
      </c>
      <c r="BQ174" s="219">
        <f t="shared" si="21"/>
        <v>0.5</v>
      </c>
      <c r="BR174" s="216">
        <v>85</v>
      </c>
      <c r="BS174" s="219">
        <f t="shared" si="22"/>
        <v>1.1794871794871793</v>
      </c>
      <c r="BX174" s="216">
        <v>35</v>
      </c>
      <c r="BY174" s="219">
        <f t="shared" si="23"/>
        <v>0.39999999999999991</v>
      </c>
    </row>
    <row r="175" spans="1:77">
      <c r="A175" s="23" t="b">
        <v>1</v>
      </c>
      <c r="B175" s="107" t="s">
        <v>1536</v>
      </c>
      <c r="C175" s="57" t="s">
        <v>1336</v>
      </c>
      <c r="D175" s="23" t="b">
        <v>0</v>
      </c>
      <c r="E175" s="23" t="b">
        <v>0</v>
      </c>
      <c r="F175" s="31" t="s">
        <v>2063</v>
      </c>
      <c r="G175" s="18" t="s">
        <v>2064</v>
      </c>
      <c r="I175" s="18" t="s">
        <v>252</v>
      </c>
      <c r="J175" s="47" t="s">
        <v>2065</v>
      </c>
      <c r="K175" s="47" t="s">
        <v>700</v>
      </c>
      <c r="L175" s="24" t="s">
        <v>258</v>
      </c>
      <c r="M175" s="24" t="s">
        <v>278</v>
      </c>
      <c r="N175" s="24" t="s">
        <v>301</v>
      </c>
      <c r="O175" s="24" t="s">
        <v>304</v>
      </c>
      <c r="P175" s="24"/>
      <c r="Q175" s="24">
        <v>2030</v>
      </c>
      <c r="R175" s="24" t="s">
        <v>456</v>
      </c>
      <c r="S175" s="24" t="s">
        <v>475</v>
      </c>
      <c r="U175" s="189">
        <v>9</v>
      </c>
      <c r="V175" s="24" t="str">
        <f t="shared" si="17"/>
        <v>Mature</v>
      </c>
      <c r="W175" s="24" t="s">
        <v>1350</v>
      </c>
      <c r="X175" s="23" t="b">
        <v>0</v>
      </c>
      <c r="Y175" s="24">
        <v>0.45</v>
      </c>
      <c r="AA175" s="24" t="s">
        <v>360</v>
      </c>
      <c r="AB175" s="24" t="s">
        <v>264</v>
      </c>
      <c r="AE175" s="184">
        <v>1</v>
      </c>
      <c r="AF175" s="24" t="s">
        <v>1351</v>
      </c>
      <c r="AG175" s="24" t="s">
        <v>346</v>
      </c>
      <c r="AH175" s="24" t="s">
        <v>346</v>
      </c>
      <c r="AI175" s="24" t="s">
        <v>346</v>
      </c>
      <c r="AJ175" s="184">
        <v>1</v>
      </c>
      <c r="AK175" s="184">
        <v>1</v>
      </c>
      <c r="AL175" s="24" t="s">
        <v>1351</v>
      </c>
      <c r="AO175" s="165" t="s">
        <v>264</v>
      </c>
      <c r="AP175" s="24">
        <v>0</v>
      </c>
      <c r="AQ175" s="24">
        <v>0</v>
      </c>
      <c r="AR175" s="24">
        <v>25</v>
      </c>
      <c r="AS175" s="24">
        <v>0</v>
      </c>
      <c r="AT175" s="171">
        <v>2084</v>
      </c>
      <c r="AU175" s="24">
        <v>0</v>
      </c>
      <c r="AV175" s="111">
        <v>2.2666666666666666</v>
      </c>
      <c r="AW175" s="18">
        <v>33</v>
      </c>
      <c r="AX175" s="177">
        <v>0</v>
      </c>
      <c r="AZ175" s="23" t="b">
        <v>0</v>
      </c>
      <c r="BA175" s="24" t="s">
        <v>1533</v>
      </c>
      <c r="BB175" s="349" t="s">
        <v>2061</v>
      </c>
      <c r="BC175" s="349" t="s">
        <v>1081</v>
      </c>
      <c r="BD175" s="350">
        <v>503.17839379999998</v>
      </c>
      <c r="BE175" s="349" t="s">
        <v>1075</v>
      </c>
      <c r="BF175" s="18" t="s">
        <v>264</v>
      </c>
      <c r="BG175" s="18" t="s">
        <v>264</v>
      </c>
      <c r="BH175" s="18" t="s">
        <v>264</v>
      </c>
      <c r="BI175" s="18" t="s">
        <v>264</v>
      </c>
      <c r="BJ175" s="18" t="s">
        <v>264</v>
      </c>
      <c r="BK175" s="18" t="s">
        <v>2062</v>
      </c>
      <c r="BL175" s="18" t="s">
        <v>1459</v>
      </c>
      <c r="BM175" s="95" t="s">
        <v>2066</v>
      </c>
      <c r="BO175" s="115" t="s">
        <v>1629</v>
      </c>
    </row>
    <row r="176" spans="1:77">
      <c r="A176" s="23" t="b">
        <v>1</v>
      </c>
      <c r="B176" s="107" t="s">
        <v>1536</v>
      </c>
      <c r="C176" s="57" t="s">
        <v>1336</v>
      </c>
      <c r="D176" s="23" t="b">
        <v>0</v>
      </c>
      <c r="E176" s="23" t="b">
        <v>0</v>
      </c>
      <c r="F176" s="31" t="s">
        <v>2067</v>
      </c>
      <c r="G176" s="18" t="s">
        <v>2068</v>
      </c>
      <c r="I176" s="18" t="s">
        <v>252</v>
      </c>
      <c r="J176" s="47" t="s">
        <v>2069</v>
      </c>
      <c r="K176" s="47" t="s">
        <v>700</v>
      </c>
      <c r="L176" s="24" t="s">
        <v>258</v>
      </c>
      <c r="M176" s="24" t="s">
        <v>278</v>
      </c>
      <c r="N176" s="24" t="s">
        <v>301</v>
      </c>
      <c r="O176" s="24" t="s">
        <v>304</v>
      </c>
      <c r="P176" s="24"/>
      <c r="Q176" s="24">
        <v>2040</v>
      </c>
      <c r="R176" s="24" t="s">
        <v>456</v>
      </c>
      <c r="S176" s="24" t="s">
        <v>475</v>
      </c>
      <c r="U176" s="189">
        <v>9</v>
      </c>
      <c r="V176" s="24" t="str">
        <f t="shared" si="17"/>
        <v>Mature</v>
      </c>
      <c r="W176" s="24" t="s">
        <v>1350</v>
      </c>
      <c r="X176" s="23" t="b">
        <v>0</v>
      </c>
      <c r="Y176" s="24">
        <v>0.45</v>
      </c>
      <c r="AA176" s="24" t="s">
        <v>360</v>
      </c>
      <c r="AB176" s="24" t="s">
        <v>264</v>
      </c>
      <c r="AE176" s="184">
        <v>1</v>
      </c>
      <c r="AF176" s="24" t="s">
        <v>1351</v>
      </c>
      <c r="AG176" s="24" t="s">
        <v>346</v>
      </c>
      <c r="AH176" s="24" t="s">
        <v>346</v>
      </c>
      <c r="AI176" s="24" t="s">
        <v>346</v>
      </c>
      <c r="AJ176" s="184">
        <v>1</v>
      </c>
      <c r="AK176" s="184">
        <v>1</v>
      </c>
      <c r="AL176" s="24" t="s">
        <v>1351</v>
      </c>
      <c r="AO176" s="165" t="s">
        <v>264</v>
      </c>
      <c r="AP176" s="24">
        <v>0</v>
      </c>
      <c r="AQ176" s="24">
        <v>0</v>
      </c>
      <c r="AR176" s="24">
        <v>25</v>
      </c>
      <c r="AS176" s="24">
        <v>0</v>
      </c>
      <c r="AT176" s="171">
        <v>1668</v>
      </c>
      <c r="AU176" s="24">
        <v>0</v>
      </c>
      <c r="AV176" s="111">
        <v>2.2666666666666666</v>
      </c>
      <c r="AW176" s="18">
        <v>27</v>
      </c>
      <c r="AX176" s="177">
        <v>0</v>
      </c>
      <c r="AZ176" s="23" t="b">
        <v>0</v>
      </c>
      <c r="BA176" s="24" t="s">
        <v>1533</v>
      </c>
      <c r="BB176" s="349" t="s">
        <v>2061</v>
      </c>
      <c r="BC176" s="349" t="s">
        <v>1081</v>
      </c>
      <c r="BD176" s="350">
        <v>376.64153169999997</v>
      </c>
      <c r="BE176" s="349" t="s">
        <v>1076</v>
      </c>
      <c r="BF176" s="18" t="s">
        <v>264</v>
      </c>
      <c r="BG176" s="18" t="s">
        <v>264</v>
      </c>
      <c r="BH176" s="18" t="s">
        <v>264</v>
      </c>
      <c r="BI176" s="18" t="s">
        <v>264</v>
      </c>
      <c r="BJ176" s="18" t="s">
        <v>264</v>
      </c>
      <c r="BK176" s="18" t="s">
        <v>2062</v>
      </c>
      <c r="BL176" s="18" t="s">
        <v>1459</v>
      </c>
      <c r="BM176" s="95" t="s">
        <v>2066</v>
      </c>
      <c r="BO176" s="115" t="s">
        <v>1629</v>
      </c>
    </row>
    <row r="177" spans="1:67">
      <c r="A177" s="23" t="b">
        <v>1</v>
      </c>
      <c r="B177" s="107" t="s">
        <v>1536</v>
      </c>
      <c r="C177" s="57" t="s">
        <v>1336</v>
      </c>
      <c r="D177" s="23" t="b">
        <v>0</v>
      </c>
      <c r="E177" s="23" t="b">
        <v>0</v>
      </c>
      <c r="F177" s="31" t="s">
        <v>2070</v>
      </c>
      <c r="G177" s="18" t="s">
        <v>2071</v>
      </c>
      <c r="I177" s="18" t="s">
        <v>252</v>
      </c>
      <c r="J177" s="47" t="s">
        <v>2072</v>
      </c>
      <c r="K177" s="47" t="s">
        <v>700</v>
      </c>
      <c r="L177" s="24" t="s">
        <v>258</v>
      </c>
      <c r="M177" s="24" t="s">
        <v>278</v>
      </c>
      <c r="N177" s="24" t="s">
        <v>301</v>
      </c>
      <c r="O177" s="24" t="s">
        <v>304</v>
      </c>
      <c r="P177" s="24"/>
      <c r="Q177" s="24">
        <v>2050</v>
      </c>
      <c r="R177" s="24" t="s">
        <v>456</v>
      </c>
      <c r="S177" s="24" t="s">
        <v>475</v>
      </c>
      <c r="U177" s="189">
        <v>9</v>
      </c>
      <c r="V177" s="24" t="str">
        <f t="shared" si="17"/>
        <v>Mature</v>
      </c>
      <c r="W177" s="24" t="s">
        <v>1350</v>
      </c>
      <c r="X177" s="23" t="b">
        <v>0</v>
      </c>
      <c r="Y177" s="24">
        <v>0.45</v>
      </c>
      <c r="AA177" s="24" t="s">
        <v>360</v>
      </c>
      <c r="AB177" s="24" t="s">
        <v>264</v>
      </c>
      <c r="AE177" s="184">
        <v>1</v>
      </c>
      <c r="AF177" s="24" t="s">
        <v>1351</v>
      </c>
      <c r="AG177" s="24" t="s">
        <v>346</v>
      </c>
      <c r="AH177" s="24" t="s">
        <v>346</v>
      </c>
      <c r="AI177" s="24" t="s">
        <v>346</v>
      </c>
      <c r="AJ177" s="184">
        <v>1</v>
      </c>
      <c r="AK177" s="184">
        <v>1</v>
      </c>
      <c r="AL177" s="24" t="s">
        <v>1351</v>
      </c>
      <c r="AO177" s="165" t="s">
        <v>264</v>
      </c>
      <c r="AP177" s="24">
        <v>0</v>
      </c>
      <c r="AQ177" s="24">
        <v>0</v>
      </c>
      <c r="AR177" s="24">
        <v>25</v>
      </c>
      <c r="AS177" s="24">
        <v>0</v>
      </c>
      <c r="AT177" s="171">
        <v>1253</v>
      </c>
      <c r="AU177" s="24">
        <v>0</v>
      </c>
      <c r="AV177" s="111">
        <v>2.2666666666666666</v>
      </c>
      <c r="AW177" s="18">
        <v>21</v>
      </c>
      <c r="AX177" s="177">
        <v>0</v>
      </c>
      <c r="AZ177" s="23" t="b">
        <v>0</v>
      </c>
      <c r="BA177" s="24" t="s">
        <v>1533</v>
      </c>
      <c r="BB177" s="349" t="s">
        <v>2061</v>
      </c>
      <c r="BC177" s="349" t="s">
        <v>1081</v>
      </c>
      <c r="BD177" s="350">
        <v>301.39478459999998</v>
      </c>
      <c r="BE177" s="349" t="s">
        <v>1077</v>
      </c>
      <c r="BF177" s="18" t="s">
        <v>264</v>
      </c>
      <c r="BG177" s="18" t="s">
        <v>264</v>
      </c>
      <c r="BH177" s="18" t="s">
        <v>264</v>
      </c>
      <c r="BI177" s="18" t="s">
        <v>264</v>
      </c>
      <c r="BJ177" s="18" t="s">
        <v>264</v>
      </c>
      <c r="BK177" s="18" t="s">
        <v>2062</v>
      </c>
      <c r="BL177" s="18" t="s">
        <v>1459</v>
      </c>
      <c r="BM177" s="95"/>
      <c r="BO177" s="115" t="s">
        <v>1629</v>
      </c>
    </row>
    <row r="178" spans="1:67" ht="31.2">
      <c r="A178" s="23" t="b">
        <v>1</v>
      </c>
      <c r="B178" s="57" t="s">
        <v>1336</v>
      </c>
      <c r="C178" s="57"/>
      <c r="D178" s="23" t="b">
        <v>0</v>
      </c>
      <c r="E178" s="23" t="b">
        <v>0</v>
      </c>
      <c r="F178" s="31" t="s">
        <v>2073</v>
      </c>
      <c r="G178" s="18" t="s">
        <v>2074</v>
      </c>
      <c r="I178" s="18" t="s">
        <v>238</v>
      </c>
      <c r="J178" s="47" t="s">
        <v>563</v>
      </c>
      <c r="K178" t="s">
        <v>1545</v>
      </c>
      <c r="M178" s="24"/>
      <c r="N178" s="24"/>
      <c r="O178" s="24" t="s">
        <v>304</v>
      </c>
      <c r="P178" s="24"/>
      <c r="Q178" s="24">
        <v>2020</v>
      </c>
      <c r="R178" s="24" t="s">
        <v>456</v>
      </c>
      <c r="S178" s="24" t="s">
        <v>475</v>
      </c>
      <c r="U178" s="189">
        <v>9</v>
      </c>
      <c r="V178" s="24" t="str">
        <f t="shared" si="17"/>
        <v>Mature</v>
      </c>
      <c r="X178" s="23" t="b">
        <v>0</v>
      </c>
      <c r="Y178" s="24">
        <v>0.15</v>
      </c>
      <c r="AA178" s="24" t="s">
        <v>302</v>
      </c>
      <c r="AB178" s="18" t="s">
        <v>264</v>
      </c>
      <c r="AE178" s="184">
        <v>1</v>
      </c>
      <c r="AF178" s="18" t="s">
        <v>1351</v>
      </c>
      <c r="AG178" s="24" t="s">
        <v>1546</v>
      </c>
      <c r="AH178" s="24" t="s">
        <v>2075</v>
      </c>
      <c r="AI178" s="18" t="s">
        <v>352</v>
      </c>
      <c r="AJ178" s="184" t="s">
        <v>2076</v>
      </c>
      <c r="AK178" s="184" t="s">
        <v>2077</v>
      </c>
      <c r="AL178" s="18" t="s">
        <v>1485</v>
      </c>
      <c r="AO178" s="194" t="s">
        <v>264</v>
      </c>
      <c r="AP178" s="24">
        <v>1300</v>
      </c>
      <c r="AQ178" s="24">
        <v>0</v>
      </c>
      <c r="AR178" s="24">
        <v>15</v>
      </c>
      <c r="AS178" s="24">
        <v>0</v>
      </c>
      <c r="AT178" s="166">
        <v>1400</v>
      </c>
      <c r="AU178" s="24">
        <v>0</v>
      </c>
      <c r="AV178" s="111">
        <f t="shared" ref="AV178:AV191" si="24">+AW178/AT178%</f>
        <v>9.6428571428571423</v>
      </c>
      <c r="AW178" s="24">
        <v>135</v>
      </c>
      <c r="AX178" s="201">
        <v>4.0000000000000001E-3</v>
      </c>
      <c r="AZ178" s="23" t="b">
        <v>0</v>
      </c>
      <c r="BA178" s="18" t="s">
        <v>1533</v>
      </c>
      <c r="BB178" s="349" t="s">
        <v>2078</v>
      </c>
      <c r="BC178" s="349" t="s">
        <v>1081</v>
      </c>
      <c r="BD178" s="350">
        <v>300.10997120000002</v>
      </c>
      <c r="BE178" s="349" t="s">
        <v>1074</v>
      </c>
      <c r="BF178" s="143" t="s">
        <v>264</v>
      </c>
      <c r="BG178" s="143" t="s">
        <v>264</v>
      </c>
      <c r="BH178" s="143">
        <v>0.06</v>
      </c>
      <c r="BI178" s="143">
        <v>0</v>
      </c>
      <c r="BJ178" s="143" t="s">
        <v>1474</v>
      </c>
      <c r="BK178" s="18" t="s">
        <v>2079</v>
      </c>
      <c r="BL178" s="18" t="s">
        <v>1459</v>
      </c>
      <c r="BM178" s="114" t="s">
        <v>2080</v>
      </c>
      <c r="BO178" s="116" t="s">
        <v>1535</v>
      </c>
    </row>
    <row r="179" spans="1:67" ht="18" customHeight="1">
      <c r="A179" s="23" t="b">
        <v>1</v>
      </c>
      <c r="B179" s="57" t="s">
        <v>1336</v>
      </c>
      <c r="C179" s="57"/>
      <c r="D179" s="23" t="b">
        <v>0</v>
      </c>
      <c r="E179" s="23" t="b">
        <v>0</v>
      </c>
      <c r="F179" s="31" t="s">
        <v>2081</v>
      </c>
      <c r="G179" s="18" t="s">
        <v>2082</v>
      </c>
      <c r="I179" s="18" t="s">
        <v>238</v>
      </c>
      <c r="J179" s="47" t="s">
        <v>563</v>
      </c>
      <c r="K179" t="s">
        <v>1545</v>
      </c>
      <c r="M179" s="24"/>
      <c r="N179" s="24"/>
      <c r="O179" s="24" t="s">
        <v>304</v>
      </c>
      <c r="P179" s="24"/>
      <c r="Q179" s="24">
        <v>2030</v>
      </c>
      <c r="R179" s="24" t="s">
        <v>456</v>
      </c>
      <c r="S179" s="24" t="s">
        <v>475</v>
      </c>
      <c r="U179" s="189">
        <v>9</v>
      </c>
      <c r="V179" s="24" t="str">
        <f t="shared" si="17"/>
        <v>Mature</v>
      </c>
      <c r="X179" s="23" t="b">
        <v>0</v>
      </c>
      <c r="Y179" s="24">
        <v>0.15</v>
      </c>
      <c r="AA179" s="24" t="s">
        <v>302</v>
      </c>
      <c r="AB179" s="18" t="s">
        <v>264</v>
      </c>
      <c r="AE179" s="184">
        <v>1</v>
      </c>
      <c r="AF179" s="18" t="s">
        <v>1351</v>
      </c>
      <c r="AG179" s="24" t="s">
        <v>1546</v>
      </c>
      <c r="AH179" s="24" t="s">
        <v>2075</v>
      </c>
      <c r="AI179" s="18" t="s">
        <v>352</v>
      </c>
      <c r="AJ179" s="184" t="s">
        <v>2076</v>
      </c>
      <c r="AK179" s="184" t="s">
        <v>2077</v>
      </c>
      <c r="AL179" s="18" t="s">
        <v>1485</v>
      </c>
      <c r="AO179" s="194" t="s">
        <v>264</v>
      </c>
      <c r="AP179" s="24">
        <v>1300</v>
      </c>
      <c r="AQ179" s="24">
        <v>0</v>
      </c>
      <c r="AR179" s="24">
        <v>15</v>
      </c>
      <c r="AS179" s="24">
        <v>0</v>
      </c>
      <c r="AT179" s="166">
        <v>1400</v>
      </c>
      <c r="AU179" s="24">
        <v>0</v>
      </c>
      <c r="AV179" s="111">
        <f t="shared" si="24"/>
        <v>9.6428571428571423</v>
      </c>
      <c r="AW179" s="24">
        <v>135</v>
      </c>
      <c r="AX179" s="201">
        <v>4.0000000000000001E-3</v>
      </c>
      <c r="AZ179" s="23" t="b">
        <v>0</v>
      </c>
      <c r="BA179" s="18" t="s">
        <v>1533</v>
      </c>
      <c r="BB179" s="349" t="s">
        <v>2078</v>
      </c>
      <c r="BC179" s="349" t="s">
        <v>1081</v>
      </c>
      <c r="BD179" s="350">
        <v>258.44048789999999</v>
      </c>
      <c r="BE179" s="349" t="s">
        <v>1075</v>
      </c>
      <c r="BF179" s="143" t="s">
        <v>264</v>
      </c>
      <c r="BG179" s="143" t="s">
        <v>264</v>
      </c>
      <c r="BH179" s="143" t="s">
        <v>264</v>
      </c>
      <c r="BI179" s="143" t="s">
        <v>264</v>
      </c>
      <c r="BJ179" s="143" t="s">
        <v>264</v>
      </c>
      <c r="BK179" s="18" t="s">
        <v>2083</v>
      </c>
      <c r="BL179" s="18" t="s">
        <v>1459</v>
      </c>
      <c r="BM179" s="114" t="s">
        <v>2080</v>
      </c>
      <c r="BO179" s="116" t="s">
        <v>1535</v>
      </c>
    </row>
    <row r="180" spans="1:67" ht="31.2">
      <c r="A180" s="23" t="b">
        <v>1</v>
      </c>
      <c r="B180" s="57" t="s">
        <v>1336</v>
      </c>
      <c r="C180" s="57"/>
      <c r="D180" s="23" t="b">
        <v>0</v>
      </c>
      <c r="E180" s="23" t="b">
        <v>0</v>
      </c>
      <c r="F180" s="31" t="s">
        <v>2084</v>
      </c>
      <c r="G180" s="18" t="s">
        <v>2085</v>
      </c>
      <c r="I180" s="18" t="s">
        <v>238</v>
      </c>
      <c r="J180" s="47" t="s">
        <v>563</v>
      </c>
      <c r="K180" t="s">
        <v>1545</v>
      </c>
      <c r="M180" s="24"/>
      <c r="N180" s="24"/>
      <c r="O180" s="24" t="s">
        <v>304</v>
      </c>
      <c r="P180" s="24"/>
      <c r="Q180" s="24">
        <v>2040</v>
      </c>
      <c r="R180" s="24" t="s">
        <v>456</v>
      </c>
      <c r="S180" s="24" t="s">
        <v>475</v>
      </c>
      <c r="U180" s="189">
        <v>9</v>
      </c>
      <c r="V180" s="24" t="str">
        <f t="shared" si="17"/>
        <v>Mature</v>
      </c>
      <c r="X180" s="23" t="b">
        <v>0</v>
      </c>
      <c r="Y180" s="24">
        <v>0.15</v>
      </c>
      <c r="AA180" s="24" t="s">
        <v>302</v>
      </c>
      <c r="AB180" s="18" t="s">
        <v>264</v>
      </c>
      <c r="AE180" s="184">
        <v>1</v>
      </c>
      <c r="AF180" s="18" t="s">
        <v>1351</v>
      </c>
      <c r="AG180" s="24" t="s">
        <v>1546</v>
      </c>
      <c r="AH180" s="24" t="s">
        <v>2075</v>
      </c>
      <c r="AI180" s="18" t="s">
        <v>352</v>
      </c>
      <c r="AJ180" s="184" t="s">
        <v>2076</v>
      </c>
      <c r="AK180" s="184" t="s">
        <v>2077</v>
      </c>
      <c r="AL180" s="18" t="s">
        <v>1485</v>
      </c>
      <c r="AO180" s="194" t="s">
        <v>264</v>
      </c>
      <c r="AP180" s="24">
        <v>1300</v>
      </c>
      <c r="AQ180" s="24">
        <v>0</v>
      </c>
      <c r="AR180" s="24">
        <v>15</v>
      </c>
      <c r="AS180" s="24">
        <v>0</v>
      </c>
      <c r="AT180" s="166">
        <v>1400</v>
      </c>
      <c r="AU180" s="24">
        <v>0</v>
      </c>
      <c r="AV180" s="111">
        <f t="shared" si="24"/>
        <v>9.6428571428571423</v>
      </c>
      <c r="AW180" s="24">
        <v>135</v>
      </c>
      <c r="AX180" s="201">
        <v>4.0000000000000001E-3</v>
      </c>
      <c r="AZ180" s="23" t="b">
        <v>0</v>
      </c>
      <c r="BA180" s="18" t="s">
        <v>1533</v>
      </c>
      <c r="BB180" s="349" t="s">
        <v>2078</v>
      </c>
      <c r="BC180" s="349" t="s">
        <v>1081</v>
      </c>
      <c r="BD180" s="350">
        <v>193.36322770000001</v>
      </c>
      <c r="BE180" s="349" t="s">
        <v>1076</v>
      </c>
      <c r="BF180" s="143" t="s">
        <v>264</v>
      </c>
      <c r="BG180" s="143" t="s">
        <v>264</v>
      </c>
      <c r="BH180" s="143" t="s">
        <v>264</v>
      </c>
      <c r="BI180" s="143" t="s">
        <v>264</v>
      </c>
      <c r="BJ180" s="143" t="s">
        <v>264</v>
      </c>
      <c r="BK180" s="18" t="s">
        <v>2083</v>
      </c>
      <c r="BL180" s="18" t="s">
        <v>1459</v>
      </c>
      <c r="BM180" s="114" t="s">
        <v>2080</v>
      </c>
      <c r="BO180" s="116" t="s">
        <v>1535</v>
      </c>
    </row>
    <row r="181" spans="1:67" ht="31.2">
      <c r="A181" s="23" t="b">
        <v>1</v>
      </c>
      <c r="B181" s="57" t="s">
        <v>1336</v>
      </c>
      <c r="C181" s="57"/>
      <c r="D181" s="23" t="b">
        <v>0</v>
      </c>
      <c r="E181" s="23" t="b">
        <v>0</v>
      </c>
      <c r="F181" s="31" t="s">
        <v>2086</v>
      </c>
      <c r="G181" s="18" t="s">
        <v>2087</v>
      </c>
      <c r="I181" s="18" t="s">
        <v>238</v>
      </c>
      <c r="J181" s="47" t="s">
        <v>563</v>
      </c>
      <c r="K181" t="s">
        <v>1545</v>
      </c>
      <c r="M181" s="24"/>
      <c r="N181" s="24"/>
      <c r="O181" s="24" t="s">
        <v>304</v>
      </c>
      <c r="P181" s="24"/>
      <c r="Q181" s="24">
        <v>2050</v>
      </c>
      <c r="R181" s="24" t="s">
        <v>456</v>
      </c>
      <c r="S181" s="24" t="s">
        <v>475</v>
      </c>
      <c r="U181" s="189">
        <v>9</v>
      </c>
      <c r="V181" s="24" t="str">
        <f t="shared" si="17"/>
        <v>Mature</v>
      </c>
      <c r="X181" s="23" t="b">
        <v>0</v>
      </c>
      <c r="Y181" s="24">
        <v>0.15</v>
      </c>
      <c r="AA181" s="24" t="s">
        <v>302</v>
      </c>
      <c r="AB181" s="18" t="s">
        <v>264</v>
      </c>
      <c r="AE181" s="184">
        <v>1</v>
      </c>
      <c r="AF181" s="18" t="s">
        <v>1351</v>
      </c>
      <c r="AG181" s="24" t="s">
        <v>1546</v>
      </c>
      <c r="AH181" s="24" t="s">
        <v>2075</v>
      </c>
      <c r="AI181" s="18" t="s">
        <v>352</v>
      </c>
      <c r="AJ181" s="184" t="s">
        <v>2076</v>
      </c>
      <c r="AK181" s="184" t="s">
        <v>2077</v>
      </c>
      <c r="AL181" s="18" t="s">
        <v>1485</v>
      </c>
      <c r="AO181" s="194" t="s">
        <v>264</v>
      </c>
      <c r="AP181" s="24">
        <v>1300</v>
      </c>
      <c r="AQ181" s="24">
        <v>0</v>
      </c>
      <c r="AR181" s="24">
        <v>15</v>
      </c>
      <c r="AS181" s="24">
        <v>0</v>
      </c>
      <c r="AT181" s="166">
        <v>1400</v>
      </c>
      <c r="AU181" s="24">
        <v>0</v>
      </c>
      <c r="AV181" s="111">
        <f t="shared" si="24"/>
        <v>9.6428571428571423</v>
      </c>
      <c r="AW181" s="24">
        <v>135</v>
      </c>
      <c r="AX181" s="201">
        <v>4.0000000000000001E-3</v>
      </c>
      <c r="AZ181" s="23" t="b">
        <v>0</v>
      </c>
      <c r="BA181" s="18" t="s">
        <v>1533</v>
      </c>
      <c r="BB181" s="349" t="s">
        <v>2078</v>
      </c>
      <c r="BC181" s="349" t="s">
        <v>1081</v>
      </c>
      <c r="BD181" s="350">
        <v>148.1322337</v>
      </c>
      <c r="BE181" s="349" t="s">
        <v>1077</v>
      </c>
      <c r="BF181" s="143" t="s">
        <v>264</v>
      </c>
      <c r="BG181" s="143" t="s">
        <v>264</v>
      </c>
      <c r="BH181" s="143" t="s">
        <v>264</v>
      </c>
      <c r="BI181" s="143" t="s">
        <v>264</v>
      </c>
      <c r="BJ181" s="143" t="s">
        <v>264</v>
      </c>
      <c r="BK181" s="18" t="s">
        <v>2083</v>
      </c>
      <c r="BL181" s="18" t="s">
        <v>1459</v>
      </c>
      <c r="BM181" s="114" t="s">
        <v>2080</v>
      </c>
      <c r="BO181" s="116" t="s">
        <v>1535</v>
      </c>
    </row>
    <row r="182" spans="1:67" ht="62.4">
      <c r="A182" s="23" t="b">
        <v>0</v>
      </c>
      <c r="B182" s="57" t="s">
        <v>2041</v>
      </c>
      <c r="C182" s="57" t="s">
        <v>1476</v>
      </c>
      <c r="D182" s="23" t="b">
        <v>0</v>
      </c>
      <c r="E182" s="23" t="b">
        <v>0</v>
      </c>
      <c r="F182" s="18" t="s">
        <v>2088</v>
      </c>
      <c r="G182" s="18" t="s">
        <v>2089</v>
      </c>
      <c r="I182" s="18" t="s">
        <v>242</v>
      </c>
      <c r="J182" s="47" t="s">
        <v>648</v>
      </c>
      <c r="K182" s="47" t="s">
        <v>884</v>
      </c>
      <c r="L182" s="24" t="s">
        <v>260</v>
      </c>
      <c r="M182" s="24" t="s">
        <v>273</v>
      </c>
      <c r="N182" s="24" t="s">
        <v>302</v>
      </c>
      <c r="O182" s="24" t="s">
        <v>304</v>
      </c>
      <c r="P182" s="24"/>
      <c r="Q182" s="24">
        <v>2030</v>
      </c>
      <c r="R182" s="24" t="s">
        <v>456</v>
      </c>
      <c r="S182" s="24" t="s">
        <v>475</v>
      </c>
      <c r="T182" s="165">
        <v>2025</v>
      </c>
      <c r="U182" s="189">
        <v>5</v>
      </c>
      <c r="V182" s="24" t="str">
        <f t="shared" si="17"/>
        <v>Prototype</v>
      </c>
      <c r="W182" s="24" t="s">
        <v>1447</v>
      </c>
      <c r="X182" s="23" t="b">
        <v>0</v>
      </c>
      <c r="AA182" s="24" t="s">
        <v>2090</v>
      </c>
      <c r="AB182" s="24" t="s">
        <v>302</v>
      </c>
      <c r="AE182" s="163" t="s">
        <v>2091</v>
      </c>
      <c r="AF182" s="163" t="s">
        <v>1759</v>
      </c>
      <c r="AG182" s="163" t="s">
        <v>1828</v>
      </c>
      <c r="AH182" s="163" t="s">
        <v>1828</v>
      </c>
      <c r="AI182" s="164" t="s">
        <v>401</v>
      </c>
      <c r="AJ182" s="232" t="s">
        <v>2092</v>
      </c>
      <c r="AK182" s="163" t="s">
        <v>2092</v>
      </c>
      <c r="AL182" s="163" t="s">
        <v>1485</v>
      </c>
      <c r="AM182" s="123"/>
      <c r="AN182" s="123"/>
      <c r="AO182" s="196">
        <v>0.39200000000000002</v>
      </c>
      <c r="AP182" s="24">
        <v>0</v>
      </c>
      <c r="AQ182" s="24">
        <v>0</v>
      </c>
      <c r="AR182" s="24">
        <v>30</v>
      </c>
      <c r="AS182" s="24">
        <v>0</v>
      </c>
      <c r="AT182" s="167">
        <v>1600</v>
      </c>
      <c r="AU182" s="24">
        <v>0</v>
      </c>
      <c r="AV182" s="111">
        <f t="shared" si="24"/>
        <v>5</v>
      </c>
      <c r="AW182" s="24">
        <v>80</v>
      </c>
      <c r="AX182" s="175">
        <v>0</v>
      </c>
      <c r="AZ182" s="23" t="b">
        <v>0</v>
      </c>
      <c r="BA182" s="24"/>
      <c r="BB182" s="349" t="s">
        <v>2048</v>
      </c>
      <c r="BC182" s="349" t="s">
        <v>1089</v>
      </c>
      <c r="BD182" s="350">
        <v>2.041E-4</v>
      </c>
      <c r="BE182" s="349" t="s">
        <v>1075</v>
      </c>
      <c r="BF182" s="18" t="str">
        <f>IF(AE182="na","na","needs value")</f>
        <v>needs value</v>
      </c>
      <c r="BG182" s="18" t="str">
        <f>IF(AJ182="na","na","needs value")</f>
        <v>needs value</v>
      </c>
      <c r="BH182" s="143" t="s">
        <v>264</v>
      </c>
      <c r="BI182" s="143" t="s">
        <v>264</v>
      </c>
      <c r="BJ182" s="143" t="s">
        <v>264</v>
      </c>
      <c r="BK182" s="18" t="s">
        <v>2093</v>
      </c>
      <c r="BL182" s="18" t="s">
        <v>1459</v>
      </c>
      <c r="BM182" s="159" t="s">
        <v>2050</v>
      </c>
      <c r="BO182" s="137" t="s">
        <v>2051</v>
      </c>
    </row>
    <row r="183" spans="1:67" ht="62.4">
      <c r="A183" s="23" t="b">
        <v>0</v>
      </c>
      <c r="B183" s="57" t="s">
        <v>2041</v>
      </c>
      <c r="C183" s="57" t="s">
        <v>1476</v>
      </c>
      <c r="D183" s="23" t="b">
        <v>0</v>
      </c>
      <c r="E183" s="23" t="b">
        <v>0</v>
      </c>
      <c r="F183" s="18" t="s">
        <v>2094</v>
      </c>
      <c r="G183" s="18" t="s">
        <v>2095</v>
      </c>
      <c r="I183" s="18" t="s">
        <v>248</v>
      </c>
      <c r="J183" s="47" t="s">
        <v>644</v>
      </c>
      <c r="K183" s="47" t="s">
        <v>884</v>
      </c>
      <c r="L183" s="24" t="s">
        <v>266</v>
      </c>
      <c r="M183" s="24" t="s">
        <v>273</v>
      </c>
      <c r="N183" s="24" t="s">
        <v>302</v>
      </c>
      <c r="O183" s="24" t="s">
        <v>304</v>
      </c>
      <c r="P183" s="24"/>
      <c r="Q183" s="24">
        <v>2030</v>
      </c>
      <c r="R183" s="24" t="s">
        <v>456</v>
      </c>
      <c r="S183" s="24" t="s">
        <v>475</v>
      </c>
      <c r="T183" s="165">
        <v>2025</v>
      </c>
      <c r="U183" s="189">
        <v>8</v>
      </c>
      <c r="V183" s="24" t="str">
        <f>IF(U183="", "", IF(VALUE(LEFT(U183, 1))&gt;=9, "Mature", IF(VALUE(LEFT(U183, 1))&gt;=7, "Emerging", "Prototype")))</f>
        <v>Emerging</v>
      </c>
      <c r="W183" s="24" t="s">
        <v>1447</v>
      </c>
      <c r="X183" s="23" t="b">
        <v>0</v>
      </c>
      <c r="AA183" s="24" t="s">
        <v>495</v>
      </c>
      <c r="AB183" s="24" t="s">
        <v>302</v>
      </c>
      <c r="AE183" s="163" t="s">
        <v>2096</v>
      </c>
      <c r="AF183" s="163" t="s">
        <v>1482</v>
      </c>
      <c r="AG183" s="163" t="s">
        <v>2097</v>
      </c>
      <c r="AH183" s="163" t="s">
        <v>2097</v>
      </c>
      <c r="AI183" s="164" t="s">
        <v>401</v>
      </c>
      <c r="AJ183" s="232" t="s">
        <v>2098</v>
      </c>
      <c r="AK183" s="232" t="s">
        <v>2098</v>
      </c>
      <c r="AL183" s="163" t="s">
        <v>2099</v>
      </c>
      <c r="AM183" s="123"/>
      <c r="AN183" s="123"/>
      <c r="AO183" s="196"/>
      <c r="AP183" s="24">
        <v>0</v>
      </c>
      <c r="AQ183" s="24">
        <v>0</v>
      </c>
      <c r="AR183" s="24">
        <v>30</v>
      </c>
      <c r="AS183" s="24">
        <v>0</v>
      </c>
      <c r="AT183" s="167">
        <v>900</v>
      </c>
      <c r="AU183" s="24">
        <v>0</v>
      </c>
      <c r="AV183" s="111">
        <f t="shared" si="24"/>
        <v>3</v>
      </c>
      <c r="AW183" s="24">
        <v>27</v>
      </c>
      <c r="AX183" s="175">
        <v>0</v>
      </c>
      <c r="AZ183" s="23" t="b">
        <v>0</v>
      </c>
      <c r="BA183" s="24"/>
      <c r="BB183" s="349" t="s">
        <v>2048</v>
      </c>
      <c r="BC183" s="349" t="s">
        <v>1089</v>
      </c>
      <c r="BD183" s="350">
        <v>2.041E-4</v>
      </c>
      <c r="BE183" s="349" t="s">
        <v>1075</v>
      </c>
      <c r="BF183" s="18" t="str">
        <f>IF(AE183="na","na","needs value")</f>
        <v>needs value</v>
      </c>
      <c r="BG183" s="18" t="str">
        <f>IF(AJ183="na","na","needs value")</f>
        <v>needs value</v>
      </c>
      <c r="BH183" s="143" t="s">
        <v>264</v>
      </c>
      <c r="BI183" s="143" t="s">
        <v>264</v>
      </c>
      <c r="BJ183" s="143" t="s">
        <v>264</v>
      </c>
      <c r="BK183" s="18" t="s">
        <v>2049</v>
      </c>
      <c r="BL183" s="18" t="s">
        <v>1459</v>
      </c>
      <c r="BM183" s="159" t="s">
        <v>2050</v>
      </c>
      <c r="BO183" s="137" t="s">
        <v>2051</v>
      </c>
    </row>
    <row r="184" spans="1:67">
      <c r="A184" s="23" t="b">
        <v>0</v>
      </c>
      <c r="B184" s="57"/>
      <c r="C184" s="57"/>
      <c r="D184" s="23" t="b">
        <v>0</v>
      </c>
      <c r="E184" s="23" t="b">
        <v>0</v>
      </c>
      <c r="F184" s="31" t="s">
        <v>2100</v>
      </c>
      <c r="G184" s="18" t="s">
        <v>2101</v>
      </c>
      <c r="I184" s="18" t="s">
        <v>239</v>
      </c>
      <c r="J184" s="47" t="s">
        <v>600</v>
      </c>
      <c r="K184" s="47" t="s">
        <v>1545</v>
      </c>
      <c r="L184" s="24" t="s">
        <v>267</v>
      </c>
      <c r="M184" s="24"/>
      <c r="N184" s="24"/>
      <c r="O184" s="24" t="s">
        <v>304</v>
      </c>
      <c r="P184" s="24"/>
      <c r="Q184" s="24">
        <v>2020</v>
      </c>
      <c r="R184" s="24" t="s">
        <v>456</v>
      </c>
      <c r="S184" s="24" t="s">
        <v>475</v>
      </c>
      <c r="U184" s="189">
        <v>9</v>
      </c>
      <c r="V184" s="24" t="str">
        <f>IF(U184="", "", IF(VALUE(LEFT(U184, 1))&gt;=9, "Mature", IF(VALUE(LEFT(U184, 1))&gt;=7, "Emerging", "Prototype")))</f>
        <v>Mature</v>
      </c>
      <c r="X184" s="23" t="b">
        <v>0</v>
      </c>
      <c r="Y184" s="24">
        <v>0.77</v>
      </c>
      <c r="AA184" s="24" t="s">
        <v>302</v>
      </c>
      <c r="AB184" s="24" t="s">
        <v>264</v>
      </c>
      <c r="AE184" s="184">
        <v>1</v>
      </c>
      <c r="AF184" s="24" t="s">
        <v>1351</v>
      </c>
      <c r="AG184" s="24" t="s">
        <v>420</v>
      </c>
      <c r="AH184" s="24" t="s">
        <v>420</v>
      </c>
      <c r="AI184" s="24" t="s">
        <v>420</v>
      </c>
      <c r="AJ184" s="184">
        <v>0.77</v>
      </c>
      <c r="AK184" s="184">
        <v>0.77</v>
      </c>
      <c r="AL184" s="24" t="s">
        <v>1351</v>
      </c>
      <c r="AO184" s="165" t="s">
        <v>264</v>
      </c>
      <c r="AP184" s="24">
        <v>0</v>
      </c>
      <c r="AQ184" s="24">
        <v>0</v>
      </c>
      <c r="AR184" s="24">
        <v>25</v>
      </c>
      <c r="AS184" s="24">
        <v>0</v>
      </c>
      <c r="AT184" s="171">
        <v>2600</v>
      </c>
      <c r="AU184" s="24">
        <v>0</v>
      </c>
      <c r="AV184" s="111">
        <f t="shared" si="24"/>
        <v>6</v>
      </c>
      <c r="AW184" s="24">
        <v>156</v>
      </c>
      <c r="AX184" s="177">
        <v>0</v>
      </c>
      <c r="AZ184" s="23" t="b">
        <v>0</v>
      </c>
      <c r="BA184" s="24" t="s">
        <v>1533</v>
      </c>
      <c r="BB184" s="349" t="s">
        <v>2102</v>
      </c>
      <c r="BC184" s="349" t="s">
        <v>1081</v>
      </c>
      <c r="BD184" s="350">
        <v>104.5837449</v>
      </c>
      <c r="BE184" s="349" t="s">
        <v>1074</v>
      </c>
      <c r="BF184" s="143" t="s">
        <v>264</v>
      </c>
      <c r="BG184" s="143" t="s">
        <v>264</v>
      </c>
      <c r="BH184" s="143" t="s">
        <v>264</v>
      </c>
      <c r="BI184" s="143" t="s">
        <v>264</v>
      </c>
      <c r="BJ184" s="143" t="s">
        <v>264</v>
      </c>
      <c r="BK184" s="18" t="s">
        <v>1542</v>
      </c>
      <c r="BL184" s="18" t="s">
        <v>1459</v>
      </c>
      <c r="BM184" s="95"/>
      <c r="BO184" s="116" t="s">
        <v>1535</v>
      </c>
    </row>
    <row r="185" spans="1:67">
      <c r="A185" s="23" t="b">
        <v>0</v>
      </c>
      <c r="B185" s="57"/>
      <c r="C185" s="57"/>
      <c r="D185" s="23" t="b">
        <v>0</v>
      </c>
      <c r="E185" s="23" t="b">
        <v>0</v>
      </c>
      <c r="F185" s="31" t="s">
        <v>2103</v>
      </c>
      <c r="G185" s="18" t="s">
        <v>2104</v>
      </c>
      <c r="I185" s="18" t="s">
        <v>239</v>
      </c>
      <c r="J185" s="47" t="s">
        <v>600</v>
      </c>
      <c r="K185" s="47" t="s">
        <v>1545</v>
      </c>
      <c r="L185" s="24" t="s">
        <v>267</v>
      </c>
      <c r="M185" s="24"/>
      <c r="N185" s="24"/>
      <c r="O185" s="24" t="s">
        <v>304</v>
      </c>
      <c r="P185" s="24"/>
      <c r="Q185" s="24">
        <v>2030</v>
      </c>
      <c r="R185" s="24" t="s">
        <v>456</v>
      </c>
      <c r="S185" s="24" t="s">
        <v>475</v>
      </c>
      <c r="U185" s="189">
        <v>9</v>
      </c>
      <c r="V185" s="24" t="str">
        <f t="shared" si="17"/>
        <v>Mature</v>
      </c>
      <c r="X185" s="23" t="b">
        <v>0</v>
      </c>
      <c r="Y185" s="24">
        <v>0.77</v>
      </c>
      <c r="AA185" s="24" t="s">
        <v>302</v>
      </c>
      <c r="AB185" s="24" t="s">
        <v>264</v>
      </c>
      <c r="AE185" s="184">
        <v>1</v>
      </c>
      <c r="AF185" s="24" t="s">
        <v>1351</v>
      </c>
      <c r="AG185" s="24" t="s">
        <v>420</v>
      </c>
      <c r="AH185" s="24" t="s">
        <v>420</v>
      </c>
      <c r="AI185" s="24" t="s">
        <v>420</v>
      </c>
      <c r="AJ185" s="184">
        <v>0.77</v>
      </c>
      <c r="AK185" s="184">
        <v>0.77</v>
      </c>
      <c r="AL185" s="24" t="s">
        <v>1351</v>
      </c>
      <c r="AO185" s="165" t="s">
        <v>264</v>
      </c>
      <c r="AP185" s="24">
        <v>0</v>
      </c>
      <c r="AQ185" s="24">
        <v>0</v>
      </c>
      <c r="AR185" s="24">
        <v>25</v>
      </c>
      <c r="AS185" s="24">
        <v>0</v>
      </c>
      <c r="AT185" s="171">
        <v>2600</v>
      </c>
      <c r="AU185" s="24">
        <v>0</v>
      </c>
      <c r="AV185" s="111">
        <f t="shared" si="24"/>
        <v>6</v>
      </c>
      <c r="AW185" s="24">
        <v>156</v>
      </c>
      <c r="AX185" s="177">
        <v>0</v>
      </c>
      <c r="AZ185" s="23" t="b">
        <v>0</v>
      </c>
      <c r="BA185" s="24" t="s">
        <v>1533</v>
      </c>
      <c r="BB185" s="349" t="s">
        <v>2102</v>
      </c>
      <c r="BC185" s="349" t="s">
        <v>1081</v>
      </c>
      <c r="BD185" s="350">
        <v>92.644368200000002</v>
      </c>
      <c r="BE185" s="349" t="s">
        <v>1075</v>
      </c>
      <c r="BF185" s="143" t="s">
        <v>264</v>
      </c>
      <c r="BG185" s="143" t="s">
        <v>264</v>
      </c>
      <c r="BH185" s="143" t="s">
        <v>264</v>
      </c>
      <c r="BI185" s="143" t="s">
        <v>264</v>
      </c>
      <c r="BJ185" s="143" t="s">
        <v>264</v>
      </c>
      <c r="BK185" s="18" t="s">
        <v>2105</v>
      </c>
      <c r="BL185" s="18" t="s">
        <v>1459</v>
      </c>
      <c r="BM185" s="95"/>
      <c r="BO185" s="116" t="s">
        <v>1535</v>
      </c>
    </row>
    <row r="186" spans="1:67" s="159" customFormat="1">
      <c r="A186" s="23" t="b">
        <v>0</v>
      </c>
      <c r="B186" s="57"/>
      <c r="C186" s="57"/>
      <c r="D186" s="23" t="b">
        <v>0</v>
      </c>
      <c r="E186" s="23" t="b">
        <v>0</v>
      </c>
      <c r="F186" s="31" t="s">
        <v>2106</v>
      </c>
      <c r="G186" s="18" t="s">
        <v>2107</v>
      </c>
      <c r="H186" s="31"/>
      <c r="I186" s="18" t="s">
        <v>239</v>
      </c>
      <c r="J186" s="47" t="s">
        <v>600</v>
      </c>
      <c r="K186" s="47" t="s">
        <v>1545</v>
      </c>
      <c r="L186" s="24" t="s">
        <v>267</v>
      </c>
      <c r="M186" s="24"/>
      <c r="N186" s="24"/>
      <c r="O186" s="24" t="s">
        <v>304</v>
      </c>
      <c r="P186" s="24"/>
      <c r="Q186" s="24">
        <v>2040</v>
      </c>
      <c r="R186" s="24" t="s">
        <v>456</v>
      </c>
      <c r="S186" s="24" t="s">
        <v>475</v>
      </c>
      <c r="T186" s="24"/>
      <c r="U186" s="189">
        <v>9</v>
      </c>
      <c r="V186" s="24" t="str">
        <f t="shared" si="17"/>
        <v>Mature</v>
      </c>
      <c r="W186" s="24"/>
      <c r="X186" s="23" t="b">
        <v>0</v>
      </c>
      <c r="Y186" s="24">
        <v>0.77</v>
      </c>
      <c r="Z186" s="24"/>
      <c r="AA186" s="24" t="s">
        <v>302</v>
      </c>
      <c r="AB186" s="24" t="s">
        <v>264</v>
      </c>
      <c r="AC186" s="184"/>
      <c r="AD186" s="24"/>
      <c r="AE186" s="184">
        <v>1</v>
      </c>
      <c r="AF186" s="24" t="s">
        <v>1351</v>
      </c>
      <c r="AG186" s="24" t="s">
        <v>420</v>
      </c>
      <c r="AH186" s="24" t="s">
        <v>420</v>
      </c>
      <c r="AI186" s="24" t="s">
        <v>420</v>
      </c>
      <c r="AJ186" s="184">
        <v>0.77</v>
      </c>
      <c r="AK186" s="184">
        <v>0.77</v>
      </c>
      <c r="AL186" s="24" t="s">
        <v>1351</v>
      </c>
      <c r="AM186" s="184"/>
      <c r="AN186" s="18"/>
      <c r="AO186" s="165" t="s">
        <v>264</v>
      </c>
      <c r="AP186" s="24">
        <v>0</v>
      </c>
      <c r="AQ186" s="24">
        <v>0</v>
      </c>
      <c r="AR186" s="24">
        <v>25</v>
      </c>
      <c r="AS186" s="24">
        <v>0</v>
      </c>
      <c r="AT186" s="171">
        <v>2600</v>
      </c>
      <c r="AU186" s="24">
        <v>0</v>
      </c>
      <c r="AV186" s="111">
        <f t="shared" si="24"/>
        <v>6</v>
      </c>
      <c r="AW186" s="24">
        <v>156</v>
      </c>
      <c r="AX186" s="177">
        <v>0</v>
      </c>
      <c r="AY186" s="18"/>
      <c r="AZ186" s="23" t="b">
        <v>0</v>
      </c>
      <c r="BA186" s="24" t="s">
        <v>1533</v>
      </c>
      <c r="BB186" s="349" t="s">
        <v>2102</v>
      </c>
      <c r="BC186" s="349" t="s">
        <v>1081</v>
      </c>
      <c r="BD186" s="350">
        <v>71.649735500000006</v>
      </c>
      <c r="BE186" s="349" t="s">
        <v>1076</v>
      </c>
      <c r="BF186" s="143" t="s">
        <v>264</v>
      </c>
      <c r="BG186" s="143" t="s">
        <v>264</v>
      </c>
      <c r="BH186" s="143" t="s">
        <v>264</v>
      </c>
      <c r="BI186" s="143" t="s">
        <v>264</v>
      </c>
      <c r="BJ186" s="143" t="s">
        <v>264</v>
      </c>
      <c r="BK186" s="18" t="s">
        <v>2105</v>
      </c>
      <c r="BL186" s="18" t="s">
        <v>1459</v>
      </c>
      <c r="BM186" s="95"/>
      <c r="BN186" s="18"/>
      <c r="BO186" s="116" t="s">
        <v>1535</v>
      </c>
    </row>
    <row r="187" spans="1:67" s="159" customFormat="1">
      <c r="A187" s="23" t="b">
        <v>0</v>
      </c>
      <c r="B187" s="57"/>
      <c r="C187" s="57"/>
      <c r="D187" s="23" t="b">
        <v>0</v>
      </c>
      <c r="E187" s="23" t="b">
        <v>0</v>
      </c>
      <c r="F187" s="31" t="s">
        <v>2108</v>
      </c>
      <c r="G187" s="18" t="s">
        <v>2109</v>
      </c>
      <c r="H187" s="31"/>
      <c r="I187" s="18" t="s">
        <v>239</v>
      </c>
      <c r="J187" s="47" t="s">
        <v>600</v>
      </c>
      <c r="K187" s="47" t="s">
        <v>1545</v>
      </c>
      <c r="L187" s="24" t="s">
        <v>267</v>
      </c>
      <c r="M187" s="24"/>
      <c r="N187" s="24"/>
      <c r="O187" s="24" t="s">
        <v>304</v>
      </c>
      <c r="P187" s="24"/>
      <c r="Q187" s="24">
        <v>2050</v>
      </c>
      <c r="R187" s="24" t="s">
        <v>456</v>
      </c>
      <c r="S187" s="24" t="s">
        <v>475</v>
      </c>
      <c r="T187" s="24"/>
      <c r="U187" s="189">
        <v>9</v>
      </c>
      <c r="V187" s="24" t="str">
        <f t="shared" si="17"/>
        <v>Mature</v>
      </c>
      <c r="W187" s="24"/>
      <c r="X187" s="23" t="b">
        <v>0</v>
      </c>
      <c r="Y187" s="24">
        <v>0.77</v>
      </c>
      <c r="Z187" s="24"/>
      <c r="AA187" s="24" t="s">
        <v>302</v>
      </c>
      <c r="AB187" s="24" t="s">
        <v>264</v>
      </c>
      <c r="AC187" s="184"/>
      <c r="AD187" s="24"/>
      <c r="AE187" s="184">
        <v>1</v>
      </c>
      <c r="AF187" s="24" t="s">
        <v>1351</v>
      </c>
      <c r="AG187" s="24" t="s">
        <v>420</v>
      </c>
      <c r="AH187" s="24" t="s">
        <v>420</v>
      </c>
      <c r="AI187" s="24" t="s">
        <v>420</v>
      </c>
      <c r="AJ187" s="184">
        <v>0.77</v>
      </c>
      <c r="AK187" s="184">
        <v>0.77</v>
      </c>
      <c r="AL187" s="24" t="s">
        <v>1351</v>
      </c>
      <c r="AM187" s="184"/>
      <c r="AN187" s="18"/>
      <c r="AO187" s="165" t="s">
        <v>264</v>
      </c>
      <c r="AP187" s="24">
        <v>0</v>
      </c>
      <c r="AQ187" s="24">
        <v>0</v>
      </c>
      <c r="AR187" s="24">
        <v>25</v>
      </c>
      <c r="AS187" s="24">
        <v>0</v>
      </c>
      <c r="AT187" s="171">
        <v>2600</v>
      </c>
      <c r="AU187" s="24">
        <v>0</v>
      </c>
      <c r="AV187" s="111">
        <f t="shared" si="24"/>
        <v>6</v>
      </c>
      <c r="AW187" s="24">
        <v>156</v>
      </c>
      <c r="AX187" s="177">
        <v>0</v>
      </c>
      <c r="AY187" s="18"/>
      <c r="AZ187" s="23" t="b">
        <v>0</v>
      </c>
      <c r="BA187" s="24" t="s">
        <v>1533</v>
      </c>
      <c r="BB187" s="349" t="s">
        <v>2102</v>
      </c>
      <c r="BC187" s="349" t="s">
        <v>1081</v>
      </c>
      <c r="BD187" s="350">
        <v>50.448102900000002</v>
      </c>
      <c r="BE187" s="349" t="s">
        <v>1077</v>
      </c>
      <c r="BF187" s="143" t="s">
        <v>264</v>
      </c>
      <c r="BG187" s="143" t="s">
        <v>264</v>
      </c>
      <c r="BH187" s="143" t="s">
        <v>264</v>
      </c>
      <c r="BI187" s="143" t="s">
        <v>264</v>
      </c>
      <c r="BJ187" s="143" t="s">
        <v>264</v>
      </c>
      <c r="BK187" s="18" t="s">
        <v>1542</v>
      </c>
      <c r="BL187" s="18" t="s">
        <v>1459</v>
      </c>
      <c r="BM187" s="95"/>
      <c r="BN187" s="18"/>
      <c r="BO187" s="116" t="s">
        <v>1535</v>
      </c>
    </row>
    <row r="188" spans="1:67" s="159" customFormat="1" ht="31.2">
      <c r="A188" s="23" t="b">
        <v>0</v>
      </c>
      <c r="B188" s="57"/>
      <c r="C188" s="57"/>
      <c r="D188" s="23" t="b">
        <v>0</v>
      </c>
      <c r="E188" s="23" t="b">
        <v>0</v>
      </c>
      <c r="F188" s="31" t="s">
        <v>2110</v>
      </c>
      <c r="G188" s="18" t="s">
        <v>2111</v>
      </c>
      <c r="H188" s="31"/>
      <c r="I188" s="18" t="s">
        <v>239</v>
      </c>
      <c r="J188" s="47" t="s">
        <v>619</v>
      </c>
      <c r="K188" s="47" t="s">
        <v>2112</v>
      </c>
      <c r="L188" s="24" t="s">
        <v>267</v>
      </c>
      <c r="M188" s="24"/>
      <c r="N188" s="24"/>
      <c r="O188" s="24" t="s">
        <v>304</v>
      </c>
      <c r="P188" s="24"/>
      <c r="Q188" s="24">
        <v>2020</v>
      </c>
      <c r="R188" s="24" t="s">
        <v>456</v>
      </c>
      <c r="S188" s="24" t="s">
        <v>475</v>
      </c>
      <c r="T188" s="24"/>
      <c r="U188" s="189">
        <v>9</v>
      </c>
      <c r="V188" s="24" t="str">
        <f t="shared" si="17"/>
        <v>Mature</v>
      </c>
      <c r="W188" s="24"/>
      <c r="X188" s="23" t="b">
        <v>0</v>
      </c>
      <c r="Y188" s="24">
        <v>0.85</v>
      </c>
      <c r="Z188" s="24"/>
      <c r="AA188" s="24" t="s">
        <v>302</v>
      </c>
      <c r="AB188" s="24" t="s">
        <v>264</v>
      </c>
      <c r="AC188" s="184"/>
      <c r="AD188" s="24"/>
      <c r="AE188" s="184">
        <v>1</v>
      </c>
      <c r="AF188" s="24" t="s">
        <v>1351</v>
      </c>
      <c r="AG188" s="24" t="s">
        <v>437</v>
      </c>
      <c r="AH188" s="24" t="s">
        <v>437</v>
      </c>
      <c r="AI188" s="24" t="s">
        <v>437</v>
      </c>
      <c r="AJ188" s="184" t="s">
        <v>2034</v>
      </c>
      <c r="AK188" s="184" t="s">
        <v>2034</v>
      </c>
      <c r="AL188" s="24" t="s">
        <v>1351</v>
      </c>
      <c r="AM188" s="184"/>
      <c r="AN188" s="18"/>
      <c r="AO188" s="165" t="s">
        <v>264</v>
      </c>
      <c r="AP188" s="24">
        <v>0</v>
      </c>
      <c r="AQ188" s="24">
        <v>0</v>
      </c>
      <c r="AR188" s="24">
        <v>25</v>
      </c>
      <c r="AS188" s="24">
        <v>0</v>
      </c>
      <c r="AT188" s="171">
        <v>500</v>
      </c>
      <c r="AU188" s="24">
        <v>0</v>
      </c>
      <c r="AV188" s="111">
        <f t="shared" si="24"/>
        <v>3</v>
      </c>
      <c r="AW188" s="24">
        <v>15</v>
      </c>
      <c r="AX188" s="177">
        <v>3.0000000000000001E-3</v>
      </c>
      <c r="AY188" s="18"/>
      <c r="AZ188" s="23" t="b">
        <v>0</v>
      </c>
      <c r="BA188" s="24" t="s">
        <v>1533</v>
      </c>
      <c r="BB188" s="349" t="s">
        <v>2102</v>
      </c>
      <c r="BC188" s="349" t="s">
        <v>1081</v>
      </c>
      <c r="BD188" s="350">
        <v>104.5837449</v>
      </c>
      <c r="BE188" s="349" t="s">
        <v>1074</v>
      </c>
      <c r="BF188" s="143" t="s">
        <v>264</v>
      </c>
      <c r="BG188" s="143" t="s">
        <v>264</v>
      </c>
      <c r="BH188" s="143" t="s">
        <v>264</v>
      </c>
      <c r="BI188" s="143" t="s">
        <v>264</v>
      </c>
      <c r="BJ188" s="143" t="s">
        <v>264</v>
      </c>
      <c r="BK188" s="18" t="s">
        <v>1595</v>
      </c>
      <c r="BL188" s="18" t="s">
        <v>1459</v>
      </c>
      <c r="BM188" s="95"/>
      <c r="BN188" s="18"/>
      <c r="BO188" s="116" t="s">
        <v>1535</v>
      </c>
    </row>
    <row r="189" spans="1:67" s="159" customFormat="1" ht="31.2">
      <c r="A189" s="23" t="b">
        <v>0</v>
      </c>
      <c r="B189" s="57"/>
      <c r="C189" s="57"/>
      <c r="D189" s="23" t="b">
        <v>0</v>
      </c>
      <c r="E189" s="23" t="b">
        <v>0</v>
      </c>
      <c r="F189" s="31" t="s">
        <v>2113</v>
      </c>
      <c r="G189" s="18" t="s">
        <v>2114</v>
      </c>
      <c r="H189" s="31"/>
      <c r="I189" s="18" t="s">
        <v>239</v>
      </c>
      <c r="J189" s="47" t="s">
        <v>619</v>
      </c>
      <c r="K189" s="47" t="s">
        <v>2112</v>
      </c>
      <c r="L189" s="24" t="s">
        <v>267</v>
      </c>
      <c r="M189" s="24"/>
      <c r="N189" s="24"/>
      <c r="O189" s="24" t="s">
        <v>304</v>
      </c>
      <c r="P189" s="24"/>
      <c r="Q189" s="24">
        <v>2030</v>
      </c>
      <c r="R189" s="24" t="s">
        <v>456</v>
      </c>
      <c r="S189" s="24" t="s">
        <v>475</v>
      </c>
      <c r="T189" s="24"/>
      <c r="U189" s="189">
        <v>9</v>
      </c>
      <c r="V189" s="24" t="str">
        <f t="shared" si="17"/>
        <v>Mature</v>
      </c>
      <c r="W189" s="24"/>
      <c r="X189" s="23" t="b">
        <v>0</v>
      </c>
      <c r="Y189" s="24">
        <v>0.85</v>
      </c>
      <c r="Z189" s="24"/>
      <c r="AA189" s="24" t="s">
        <v>302</v>
      </c>
      <c r="AB189" s="24" t="s">
        <v>264</v>
      </c>
      <c r="AC189" s="184"/>
      <c r="AD189" s="24"/>
      <c r="AE189" s="184">
        <v>1</v>
      </c>
      <c r="AF189" s="24" t="s">
        <v>1351</v>
      </c>
      <c r="AG189" s="24" t="s">
        <v>437</v>
      </c>
      <c r="AH189" s="24" t="s">
        <v>437</v>
      </c>
      <c r="AI189" s="24" t="s">
        <v>437</v>
      </c>
      <c r="AJ189" s="184" t="s">
        <v>2034</v>
      </c>
      <c r="AK189" s="184" t="s">
        <v>2034</v>
      </c>
      <c r="AL189" s="24" t="s">
        <v>1351</v>
      </c>
      <c r="AM189" s="184"/>
      <c r="AN189" s="18"/>
      <c r="AO189" s="165" t="s">
        <v>264</v>
      </c>
      <c r="AP189" s="24">
        <v>0</v>
      </c>
      <c r="AQ189" s="24">
        <v>0</v>
      </c>
      <c r="AR189" s="24">
        <v>25</v>
      </c>
      <c r="AS189" s="24">
        <v>0</v>
      </c>
      <c r="AT189" s="171">
        <v>500</v>
      </c>
      <c r="AU189" s="24">
        <v>0</v>
      </c>
      <c r="AV189" s="111">
        <f t="shared" si="24"/>
        <v>3</v>
      </c>
      <c r="AW189" s="24">
        <v>15</v>
      </c>
      <c r="AX189" s="177">
        <v>3.0000000000000001E-3</v>
      </c>
      <c r="AY189" s="18"/>
      <c r="AZ189" s="23" t="b">
        <v>0</v>
      </c>
      <c r="BA189" s="24" t="s">
        <v>1533</v>
      </c>
      <c r="BB189" s="349" t="s">
        <v>2102</v>
      </c>
      <c r="BC189" s="349" t="s">
        <v>1081</v>
      </c>
      <c r="BD189" s="350">
        <v>92.644368200000002</v>
      </c>
      <c r="BE189" s="349" t="s">
        <v>1075</v>
      </c>
      <c r="BF189" s="143" t="s">
        <v>264</v>
      </c>
      <c r="BG189" s="143" t="s">
        <v>264</v>
      </c>
      <c r="BH189" s="143" t="s">
        <v>264</v>
      </c>
      <c r="BI189" s="143" t="s">
        <v>264</v>
      </c>
      <c r="BJ189" s="143" t="s">
        <v>264</v>
      </c>
      <c r="BK189" s="18" t="s">
        <v>1598</v>
      </c>
      <c r="BL189" s="18" t="s">
        <v>1459</v>
      </c>
      <c r="BM189" s="95"/>
      <c r="BN189" s="18"/>
      <c r="BO189" s="116" t="s">
        <v>1535</v>
      </c>
    </row>
    <row r="190" spans="1:67" ht="31.2">
      <c r="A190" s="23" t="b">
        <v>0</v>
      </c>
      <c r="B190" s="57"/>
      <c r="C190" s="57"/>
      <c r="D190" s="23" t="b">
        <v>0</v>
      </c>
      <c r="E190" s="23" t="b">
        <v>0</v>
      </c>
      <c r="F190" s="31" t="s">
        <v>2113</v>
      </c>
      <c r="G190" s="18" t="s">
        <v>2114</v>
      </c>
      <c r="I190" s="18" t="s">
        <v>239</v>
      </c>
      <c r="J190" s="47" t="s">
        <v>619</v>
      </c>
      <c r="K190" s="47" t="s">
        <v>2112</v>
      </c>
      <c r="L190" s="24" t="s">
        <v>267</v>
      </c>
      <c r="M190" s="24"/>
      <c r="N190" s="24"/>
      <c r="O190" s="24" t="s">
        <v>304</v>
      </c>
      <c r="P190" s="24"/>
      <c r="Q190" s="24">
        <v>2040</v>
      </c>
      <c r="R190" s="24" t="s">
        <v>456</v>
      </c>
      <c r="S190" s="24" t="s">
        <v>475</v>
      </c>
      <c r="U190" s="189">
        <v>9</v>
      </c>
      <c r="V190" s="24" t="str">
        <f t="shared" si="17"/>
        <v>Mature</v>
      </c>
      <c r="X190" s="23" t="b">
        <v>0</v>
      </c>
      <c r="Y190" s="24">
        <v>0.85</v>
      </c>
      <c r="AA190" s="24" t="s">
        <v>302</v>
      </c>
      <c r="AB190" s="24" t="s">
        <v>264</v>
      </c>
      <c r="AE190" s="184">
        <v>1</v>
      </c>
      <c r="AF190" s="24" t="s">
        <v>1351</v>
      </c>
      <c r="AG190" s="24" t="s">
        <v>437</v>
      </c>
      <c r="AH190" s="24" t="s">
        <v>437</v>
      </c>
      <c r="AI190" s="24" t="s">
        <v>437</v>
      </c>
      <c r="AJ190" s="184" t="s">
        <v>2034</v>
      </c>
      <c r="AK190" s="184" t="s">
        <v>2034</v>
      </c>
      <c r="AL190" s="24" t="s">
        <v>1351</v>
      </c>
      <c r="AO190" s="165" t="s">
        <v>264</v>
      </c>
      <c r="AP190" s="24">
        <v>0</v>
      </c>
      <c r="AQ190" s="24">
        <v>0</v>
      </c>
      <c r="AR190" s="24">
        <v>25</v>
      </c>
      <c r="AS190" s="24">
        <v>0</v>
      </c>
      <c r="AT190" s="171">
        <v>500</v>
      </c>
      <c r="AU190" s="24">
        <v>0</v>
      </c>
      <c r="AV190" s="111">
        <f t="shared" si="24"/>
        <v>3</v>
      </c>
      <c r="AW190" s="24">
        <v>15</v>
      </c>
      <c r="AX190" s="177">
        <v>3.0000000000000001E-3</v>
      </c>
      <c r="AZ190" s="23" t="b">
        <v>0</v>
      </c>
      <c r="BA190" s="24" t="s">
        <v>1533</v>
      </c>
      <c r="BB190" s="349" t="s">
        <v>2102</v>
      </c>
      <c r="BC190" s="349" t="s">
        <v>1081</v>
      </c>
      <c r="BD190" s="350">
        <v>71.649735500000006</v>
      </c>
      <c r="BE190" s="349" t="s">
        <v>1076</v>
      </c>
      <c r="BF190" s="143" t="s">
        <v>264</v>
      </c>
      <c r="BG190" s="143" t="s">
        <v>264</v>
      </c>
      <c r="BH190" s="143" t="s">
        <v>264</v>
      </c>
      <c r="BI190" s="143" t="s">
        <v>264</v>
      </c>
      <c r="BJ190" s="143" t="s">
        <v>264</v>
      </c>
      <c r="BK190" s="18" t="s">
        <v>1598</v>
      </c>
      <c r="BL190" s="18" t="s">
        <v>1459</v>
      </c>
      <c r="BM190" s="95"/>
      <c r="BO190" s="116" t="s">
        <v>1535</v>
      </c>
    </row>
    <row r="191" spans="1:67" ht="31.2">
      <c r="A191" s="23" t="b">
        <v>0</v>
      </c>
      <c r="B191" s="57"/>
      <c r="C191" s="57"/>
      <c r="D191" s="23" t="b">
        <v>0</v>
      </c>
      <c r="E191" s="23" t="b">
        <v>0</v>
      </c>
      <c r="F191" s="31" t="s">
        <v>2113</v>
      </c>
      <c r="G191" s="18" t="s">
        <v>2114</v>
      </c>
      <c r="I191" s="18" t="s">
        <v>239</v>
      </c>
      <c r="J191" s="47" t="s">
        <v>619</v>
      </c>
      <c r="K191" s="47" t="s">
        <v>2112</v>
      </c>
      <c r="L191" s="24" t="s">
        <v>267</v>
      </c>
      <c r="M191" s="24"/>
      <c r="N191" s="24"/>
      <c r="O191" s="24" t="s">
        <v>304</v>
      </c>
      <c r="P191" s="24"/>
      <c r="Q191" s="24">
        <v>2050</v>
      </c>
      <c r="R191" s="24" t="s">
        <v>456</v>
      </c>
      <c r="S191" s="24" t="s">
        <v>475</v>
      </c>
      <c r="U191" s="189">
        <v>9</v>
      </c>
      <c r="V191" s="24" t="str">
        <f t="shared" si="17"/>
        <v>Mature</v>
      </c>
      <c r="X191" s="23" t="b">
        <v>0</v>
      </c>
      <c r="Y191" s="24">
        <v>0.85</v>
      </c>
      <c r="AA191" s="24" t="s">
        <v>302</v>
      </c>
      <c r="AB191" s="24" t="s">
        <v>264</v>
      </c>
      <c r="AE191" s="184">
        <v>1</v>
      </c>
      <c r="AF191" s="24" t="s">
        <v>1351</v>
      </c>
      <c r="AG191" s="24" t="s">
        <v>437</v>
      </c>
      <c r="AH191" s="24" t="s">
        <v>437</v>
      </c>
      <c r="AI191" s="24" t="s">
        <v>437</v>
      </c>
      <c r="AJ191" s="184" t="s">
        <v>2034</v>
      </c>
      <c r="AK191" s="184" t="s">
        <v>2034</v>
      </c>
      <c r="AL191" s="24" t="s">
        <v>1351</v>
      </c>
      <c r="AO191" s="165" t="s">
        <v>264</v>
      </c>
      <c r="AP191" s="24">
        <v>0</v>
      </c>
      <c r="AQ191" s="24">
        <v>0</v>
      </c>
      <c r="AR191" s="24">
        <v>25</v>
      </c>
      <c r="AS191" s="24">
        <v>0</v>
      </c>
      <c r="AT191" s="171">
        <v>500</v>
      </c>
      <c r="AU191" s="24">
        <v>0</v>
      </c>
      <c r="AV191" s="111">
        <f t="shared" si="24"/>
        <v>3</v>
      </c>
      <c r="AW191" s="24">
        <v>15</v>
      </c>
      <c r="AX191" s="177">
        <v>3.0000000000000001E-3</v>
      </c>
      <c r="AZ191" s="23" t="b">
        <v>0</v>
      </c>
      <c r="BA191" s="24" t="s">
        <v>1533</v>
      </c>
      <c r="BB191" s="349" t="s">
        <v>2102</v>
      </c>
      <c r="BC191" s="349" t="s">
        <v>1081</v>
      </c>
      <c r="BD191" s="350">
        <v>50.448102900000002</v>
      </c>
      <c r="BE191" s="349" t="s">
        <v>1077</v>
      </c>
      <c r="BF191" s="143" t="s">
        <v>264</v>
      </c>
      <c r="BG191" s="143" t="s">
        <v>264</v>
      </c>
      <c r="BH191" s="143" t="s">
        <v>264</v>
      </c>
      <c r="BI191" s="143" t="s">
        <v>264</v>
      </c>
      <c r="BJ191" s="143" t="s">
        <v>264</v>
      </c>
      <c r="BK191" s="18" t="s">
        <v>1595</v>
      </c>
      <c r="BL191" s="18" t="s">
        <v>1459</v>
      </c>
      <c r="BM191" s="95"/>
      <c r="BO191" s="116" t="s">
        <v>1535</v>
      </c>
    </row>
    <row r="192" spans="1:67" ht="25.8">
      <c r="A192" s="23" t="b">
        <v>0</v>
      </c>
      <c r="B192" s="57" t="s">
        <v>1442</v>
      </c>
      <c r="C192" s="57" t="s">
        <v>1336</v>
      </c>
      <c r="D192" s="23" t="b">
        <v>0</v>
      </c>
      <c r="E192" s="23" t="b">
        <v>0</v>
      </c>
      <c r="F192" s="31" t="s">
        <v>923</v>
      </c>
      <c r="G192" s="18" t="s">
        <v>922</v>
      </c>
      <c r="I192" s="18" t="s">
        <v>1493</v>
      </c>
      <c r="J192" s="47" t="s">
        <v>689</v>
      </c>
      <c r="K192" s="47" t="s">
        <v>918</v>
      </c>
      <c r="L192" s="24" t="s">
        <v>255</v>
      </c>
      <c r="M192" s="24" t="s">
        <v>283</v>
      </c>
      <c r="N192" s="24" t="s">
        <v>302</v>
      </c>
      <c r="O192" s="24" t="s">
        <v>304</v>
      </c>
      <c r="P192" s="24">
        <v>0.05</v>
      </c>
      <c r="Q192" s="24">
        <v>2025</v>
      </c>
      <c r="R192" s="24" t="s">
        <v>456</v>
      </c>
      <c r="S192" s="24" t="s">
        <v>475</v>
      </c>
      <c r="T192" s="24">
        <v>2025</v>
      </c>
      <c r="U192" s="189">
        <v>7</v>
      </c>
      <c r="V192" s="24" t="str">
        <f t="shared" si="17"/>
        <v>Emerging</v>
      </c>
      <c r="X192" s="23" t="b">
        <v>0</v>
      </c>
      <c r="AA192" s="24" t="s">
        <v>302</v>
      </c>
      <c r="AB192" s="24" t="s">
        <v>264</v>
      </c>
      <c r="AE192" s="184">
        <v>1</v>
      </c>
      <c r="AF192" s="24" t="s">
        <v>1351</v>
      </c>
      <c r="AG192" s="24" t="s">
        <v>2115</v>
      </c>
      <c r="AH192" s="24" t="s">
        <v>2115</v>
      </c>
      <c r="AI192" s="18" t="s">
        <v>378</v>
      </c>
      <c r="AJ192" s="184" t="s">
        <v>2116</v>
      </c>
      <c r="AK192" s="184" t="s">
        <v>2116</v>
      </c>
      <c r="AL192" s="24" t="s">
        <v>1639</v>
      </c>
      <c r="AO192" s="165" t="s">
        <v>264</v>
      </c>
      <c r="AP192" s="24">
        <v>700</v>
      </c>
      <c r="AQ192" s="24">
        <v>0</v>
      </c>
      <c r="AR192" s="24">
        <v>20</v>
      </c>
      <c r="AS192" s="24">
        <v>0</v>
      </c>
      <c r="AT192" s="228" t="s">
        <v>1495</v>
      </c>
      <c r="AU192" s="24">
        <v>0</v>
      </c>
      <c r="AV192" s="200">
        <v>2.5</v>
      </c>
      <c r="AW192" s="228" t="s">
        <v>1496</v>
      </c>
      <c r="AX192" s="175">
        <v>0</v>
      </c>
      <c r="AZ192" s="23" t="b">
        <v>0</v>
      </c>
      <c r="BA192" s="24" t="s">
        <v>1497</v>
      </c>
      <c r="BB192" s="349"/>
      <c r="BC192" s="349"/>
      <c r="BD192" s="350"/>
      <c r="BE192" s="349"/>
      <c r="BF192" s="18" t="s">
        <v>264</v>
      </c>
      <c r="BG192" s="18" t="s">
        <v>264</v>
      </c>
      <c r="BK192" s="114" t="s">
        <v>1498</v>
      </c>
      <c r="BL192" s="160"/>
      <c r="BM192" s="95" t="s">
        <v>2117</v>
      </c>
      <c r="BO192" s="137" t="s">
        <v>1464</v>
      </c>
    </row>
    <row r="193" spans="1:67" ht="25.8">
      <c r="A193" s="204" t="b">
        <v>0</v>
      </c>
      <c r="B193" s="150" t="s">
        <v>264</v>
      </c>
      <c r="C193" s="150"/>
      <c r="D193" s="204" t="b">
        <v>0</v>
      </c>
      <c r="E193" s="204" t="b">
        <v>0</v>
      </c>
      <c r="F193" s="206" t="s">
        <v>2118</v>
      </c>
      <c r="G193" s="159" t="s">
        <v>2119</v>
      </c>
      <c r="H193" s="206"/>
      <c r="I193" s="159" t="s">
        <v>227</v>
      </c>
      <c r="J193" s="207" t="s">
        <v>672</v>
      </c>
      <c r="K193" s="147" t="s">
        <v>1545</v>
      </c>
      <c r="L193" s="150" t="s">
        <v>264</v>
      </c>
      <c r="M193" s="150"/>
      <c r="N193" s="150"/>
      <c r="O193" s="150" t="s">
        <v>304</v>
      </c>
      <c r="P193" s="150"/>
      <c r="Q193" s="150">
        <v>2050</v>
      </c>
      <c r="R193" s="150" t="s">
        <v>456</v>
      </c>
      <c r="S193" s="150" t="s">
        <v>475</v>
      </c>
      <c r="T193" s="150"/>
      <c r="U193" s="208"/>
      <c r="V193" s="150" t="str">
        <f t="shared" si="17"/>
        <v/>
      </c>
      <c r="W193" s="150"/>
      <c r="X193" s="204" t="b">
        <v>0</v>
      </c>
      <c r="Y193" s="150"/>
      <c r="Z193" s="150"/>
      <c r="AA193" s="150" t="s">
        <v>388</v>
      </c>
      <c r="AB193" s="150" t="s">
        <v>388</v>
      </c>
      <c r="AC193" s="209"/>
      <c r="AD193" s="150"/>
      <c r="AE193" s="209">
        <v>1</v>
      </c>
      <c r="AF193" s="150" t="s">
        <v>1451</v>
      </c>
      <c r="AG193" s="150" t="s">
        <v>388</v>
      </c>
      <c r="AH193" s="150" t="s">
        <v>388</v>
      </c>
      <c r="AI193" s="150" t="s">
        <v>388</v>
      </c>
      <c r="AJ193" s="209">
        <v>0</v>
      </c>
      <c r="AK193" s="209">
        <v>0</v>
      </c>
      <c r="AL193" s="150" t="s">
        <v>1451</v>
      </c>
      <c r="AM193" s="209"/>
      <c r="AN193" s="159"/>
      <c r="AO193" s="220" t="s">
        <v>264</v>
      </c>
      <c r="AP193" s="150">
        <v>0</v>
      </c>
      <c r="AQ193" s="150">
        <v>0</v>
      </c>
      <c r="AR193" s="150">
        <v>100</v>
      </c>
      <c r="AS193" s="150">
        <v>0</v>
      </c>
      <c r="AT193" s="225">
        <v>1</v>
      </c>
      <c r="AU193" s="150">
        <v>0</v>
      </c>
      <c r="AV193" s="214">
        <f>+AW193/AT193%</f>
        <v>0</v>
      </c>
      <c r="AW193" s="150">
        <v>0</v>
      </c>
      <c r="AX193" s="226">
        <v>1E-3</v>
      </c>
      <c r="AY193" s="159"/>
      <c r="AZ193" s="204" t="b">
        <v>0</v>
      </c>
      <c r="BA193" s="150"/>
      <c r="BB193" s="351" t="s">
        <v>706</v>
      </c>
      <c r="BC193" s="351" t="s">
        <v>706</v>
      </c>
      <c r="BD193" s="352" t="s">
        <v>706</v>
      </c>
      <c r="BE193" s="351" t="s">
        <v>706</v>
      </c>
      <c r="BF193" s="159" t="s">
        <v>264</v>
      </c>
      <c r="BG193" s="159" t="s">
        <v>264</v>
      </c>
      <c r="BH193" s="159" t="s">
        <v>264</v>
      </c>
      <c r="BI193" s="159" t="s">
        <v>264</v>
      </c>
      <c r="BJ193" s="159" t="s">
        <v>264</v>
      </c>
      <c r="BK193" s="160" t="s">
        <v>1630</v>
      </c>
      <c r="BL193" s="159" t="s">
        <v>1512</v>
      </c>
      <c r="BM193" s="159"/>
      <c r="BN193" s="159"/>
      <c r="BO193" s="137" t="s">
        <v>1464</v>
      </c>
    </row>
    <row r="194" spans="1:67" ht="33.6">
      <c r="A194" s="23" t="b">
        <v>0</v>
      </c>
      <c r="B194" s="57" t="s">
        <v>1442</v>
      </c>
      <c r="C194" s="57" t="s">
        <v>1336</v>
      </c>
      <c r="D194" s="23" t="b">
        <v>0</v>
      </c>
      <c r="E194" s="23" t="b">
        <v>0</v>
      </c>
      <c r="F194" s="31" t="s">
        <v>2120</v>
      </c>
      <c r="G194" s="18" t="s">
        <v>2121</v>
      </c>
      <c r="I194" s="18" t="s">
        <v>2122</v>
      </c>
      <c r="J194" s="47" t="s">
        <v>2123</v>
      </c>
      <c r="K194" s="47" t="s">
        <v>2124</v>
      </c>
      <c r="L194" s="24" t="s">
        <v>265</v>
      </c>
      <c r="M194" s="24" t="s">
        <v>284</v>
      </c>
      <c r="N194" s="24"/>
      <c r="O194" s="24" t="s">
        <v>304</v>
      </c>
      <c r="P194" s="24">
        <v>6.25</v>
      </c>
      <c r="Q194" s="24">
        <v>2025</v>
      </c>
      <c r="R194" s="24" t="s">
        <v>456</v>
      </c>
      <c r="S194" s="24" t="s">
        <v>475</v>
      </c>
      <c r="T194" s="24">
        <v>2025</v>
      </c>
      <c r="U194" s="189">
        <v>7</v>
      </c>
      <c r="V194" s="24" t="str">
        <f t="shared" ref="V194" si="25">IF(U194="", "", IF(VALUE(LEFT(U194, 1))&gt;=9, "Mature", IF(VALUE(LEFT(U194, 1))&gt;=7, "Emerging", "Prototype")))</f>
        <v>Emerging</v>
      </c>
      <c r="X194" s="23" t="b">
        <v>0</v>
      </c>
      <c r="AA194" s="24" t="s">
        <v>2125</v>
      </c>
      <c r="AB194" s="24" t="s">
        <v>2126</v>
      </c>
      <c r="AE194" s="361" t="s">
        <v>2127</v>
      </c>
      <c r="AF194" s="24" t="s">
        <v>1351</v>
      </c>
      <c r="AG194" s="24" t="s">
        <v>372</v>
      </c>
      <c r="AH194" s="24" t="s">
        <v>372</v>
      </c>
      <c r="AI194" s="18" t="s">
        <v>372</v>
      </c>
      <c r="AJ194" s="184" t="s">
        <v>2128</v>
      </c>
      <c r="AK194" s="184" t="s">
        <v>2128</v>
      </c>
      <c r="AL194" s="24" t="s">
        <v>1351</v>
      </c>
      <c r="AO194" s="165" t="s">
        <v>264</v>
      </c>
      <c r="AP194" s="24"/>
      <c r="AQ194" s="24">
        <v>0</v>
      </c>
      <c r="AR194" s="24">
        <v>25</v>
      </c>
      <c r="AS194" s="24">
        <v>0</v>
      </c>
      <c r="AT194" s="228">
        <v>890</v>
      </c>
      <c r="AU194" s="24">
        <v>0</v>
      </c>
      <c r="AV194" s="200"/>
      <c r="AW194" s="228">
        <v>130</v>
      </c>
      <c r="AX194" s="177">
        <v>8.1399999999999997E-3</v>
      </c>
      <c r="AZ194" s="23" t="b">
        <v>0</v>
      </c>
      <c r="BA194" s="24" t="s">
        <v>1456</v>
      </c>
      <c r="BB194" s="349"/>
      <c r="BC194" s="349"/>
      <c r="BD194" s="350"/>
      <c r="BE194" s="349"/>
      <c r="BK194" s="114" t="s">
        <v>2129</v>
      </c>
      <c r="BL194" s="160"/>
      <c r="BM194" s="95"/>
      <c r="BO194" s="137" t="s">
        <v>1464</v>
      </c>
    </row>
    <row r="195" spans="1:67" s="159" customFormat="1">
      <c r="F195" s="206" t="s">
        <v>2130</v>
      </c>
      <c r="G195" s="159" t="s">
        <v>2131</v>
      </c>
      <c r="H195" s="206"/>
      <c r="I195" s="159" t="s">
        <v>2132</v>
      </c>
      <c r="J195" s="207"/>
      <c r="K195" s="207"/>
      <c r="L195" s="159" t="s">
        <v>2132</v>
      </c>
      <c r="O195" s="150" t="s">
        <v>304</v>
      </c>
      <c r="Q195" s="150"/>
      <c r="R195" s="150" t="s">
        <v>456</v>
      </c>
      <c r="S195" s="150" t="s">
        <v>475</v>
      </c>
      <c r="T195" s="150"/>
      <c r="U195" s="208"/>
      <c r="V195" s="150"/>
      <c r="W195" s="150"/>
      <c r="X195" s="150"/>
      <c r="Y195" s="150"/>
      <c r="Z195" s="150"/>
      <c r="AA195" s="150" t="s">
        <v>2133</v>
      </c>
      <c r="AB195" s="150" t="s">
        <v>2133</v>
      </c>
      <c r="AC195" s="209"/>
      <c r="AD195" s="150"/>
      <c r="AE195" s="150">
        <v>1</v>
      </c>
      <c r="AF195" s="150" t="s">
        <v>1351</v>
      </c>
      <c r="AG195" s="150"/>
      <c r="AH195" s="150" t="s">
        <v>2134</v>
      </c>
      <c r="AI195" s="150" t="s">
        <v>2135</v>
      </c>
      <c r="AK195" s="220" t="s">
        <v>2136</v>
      </c>
      <c r="AL195" s="150" t="s">
        <v>1482</v>
      </c>
      <c r="AM195" s="150"/>
      <c r="AN195" s="150"/>
      <c r="AO195" s="150" t="s">
        <v>264</v>
      </c>
      <c r="AP195" s="150"/>
      <c r="AQ195" s="150"/>
      <c r="AR195" s="150">
        <v>100</v>
      </c>
      <c r="AS195" s="150">
        <v>0</v>
      </c>
      <c r="AT195" s="150" t="s">
        <v>2137</v>
      </c>
      <c r="AU195" s="150">
        <v>0</v>
      </c>
      <c r="AV195" s="150"/>
      <c r="AW195" s="150">
        <v>0</v>
      </c>
      <c r="AX195" s="150">
        <v>0</v>
      </c>
      <c r="AY195" s="150"/>
      <c r="AZ195" s="150"/>
      <c r="BA195" s="150"/>
      <c r="BB195" s="150"/>
      <c r="BC195" s="150"/>
      <c r="BD195" s="150"/>
      <c r="BE195" s="150"/>
    </row>
    <row r="196" spans="1:67" s="159" customFormat="1">
      <c r="F196" s="206" t="s">
        <v>2138</v>
      </c>
      <c r="G196" s="363" t="s">
        <v>2139</v>
      </c>
      <c r="H196" s="206"/>
      <c r="I196" s="159" t="s">
        <v>2132</v>
      </c>
      <c r="J196" s="207"/>
      <c r="K196" s="207"/>
      <c r="L196" s="159" t="s">
        <v>2132</v>
      </c>
      <c r="O196" s="150" t="s">
        <v>304</v>
      </c>
      <c r="Q196" s="150"/>
      <c r="R196" s="150" t="s">
        <v>456</v>
      </c>
      <c r="S196" s="150" t="s">
        <v>475</v>
      </c>
      <c r="T196" s="150"/>
      <c r="U196" s="208"/>
      <c r="V196" s="150"/>
      <c r="W196" s="150"/>
      <c r="X196" s="150"/>
      <c r="Y196" s="150"/>
      <c r="Z196" s="150"/>
      <c r="AA196" s="150" t="s">
        <v>396</v>
      </c>
      <c r="AB196" s="150" t="s">
        <v>396</v>
      </c>
      <c r="AC196" s="209"/>
      <c r="AD196" s="150"/>
      <c r="AE196" s="150">
        <v>1</v>
      </c>
      <c r="AF196" s="150" t="s">
        <v>1351</v>
      </c>
      <c r="AG196" s="364"/>
      <c r="AH196" s="150" t="s">
        <v>2135</v>
      </c>
      <c r="AI196" s="150" t="s">
        <v>2135</v>
      </c>
      <c r="AJ196" s="150"/>
      <c r="AK196" s="220">
        <v>1</v>
      </c>
      <c r="AL196" s="150" t="s">
        <v>1351</v>
      </c>
      <c r="AM196" s="150"/>
      <c r="AN196" s="150"/>
      <c r="AO196" s="150" t="s">
        <v>264</v>
      </c>
      <c r="AP196" s="150"/>
      <c r="AQ196" s="150"/>
      <c r="AR196" s="150">
        <v>100</v>
      </c>
      <c r="AS196" s="150">
        <v>0</v>
      </c>
      <c r="AT196" s="150" t="s">
        <v>2137</v>
      </c>
      <c r="AU196" s="150">
        <v>0</v>
      </c>
      <c r="AV196" s="150"/>
      <c r="AW196" s="150">
        <v>0</v>
      </c>
      <c r="AX196" s="150">
        <v>0</v>
      </c>
      <c r="AY196" s="150"/>
      <c r="AZ196" s="150"/>
      <c r="BA196" s="150"/>
      <c r="BB196" s="150"/>
      <c r="BC196" s="150"/>
      <c r="BD196" s="150"/>
      <c r="BE196" s="150"/>
    </row>
    <row r="197" spans="1:67" s="159" customFormat="1">
      <c r="F197" s="206" t="s">
        <v>2140</v>
      </c>
      <c r="G197" s="363" t="s">
        <v>2141</v>
      </c>
      <c r="H197" s="206"/>
      <c r="I197" s="159" t="s">
        <v>2132</v>
      </c>
      <c r="J197" s="207"/>
      <c r="K197" s="207"/>
      <c r="L197" s="159" t="s">
        <v>2132</v>
      </c>
      <c r="O197" s="150" t="s">
        <v>304</v>
      </c>
      <c r="Q197" s="150"/>
      <c r="R197" s="150" t="s">
        <v>456</v>
      </c>
      <c r="S197" s="150" t="s">
        <v>475</v>
      </c>
      <c r="T197" s="150"/>
      <c r="U197" s="208"/>
      <c r="V197" s="150"/>
      <c r="W197" s="150"/>
      <c r="X197" s="150"/>
      <c r="Y197" s="150"/>
      <c r="Z197" s="150"/>
      <c r="AA197" s="150" t="s">
        <v>555</v>
      </c>
      <c r="AB197" s="150" t="s">
        <v>555</v>
      </c>
      <c r="AC197" s="209"/>
      <c r="AD197" s="150"/>
      <c r="AE197" s="150">
        <v>1</v>
      </c>
      <c r="AF197" s="150" t="s">
        <v>1351</v>
      </c>
      <c r="AG197" s="364"/>
      <c r="AH197" s="150" t="s">
        <v>2134</v>
      </c>
      <c r="AI197" s="150" t="s">
        <v>2135</v>
      </c>
      <c r="AJ197" s="150"/>
      <c r="AK197" s="220" t="s">
        <v>2142</v>
      </c>
      <c r="AL197" s="150" t="s">
        <v>1482</v>
      </c>
      <c r="AM197" s="150"/>
      <c r="AN197" s="150"/>
      <c r="AO197" s="150" t="s">
        <v>264</v>
      </c>
      <c r="AP197" s="150"/>
      <c r="AQ197" s="150"/>
      <c r="AR197" s="150">
        <v>100</v>
      </c>
      <c r="AS197" s="150">
        <v>0</v>
      </c>
      <c r="AT197" s="150" t="s">
        <v>2137</v>
      </c>
      <c r="AU197" s="150">
        <v>0</v>
      </c>
      <c r="AV197" s="150"/>
      <c r="AW197" s="150">
        <v>0</v>
      </c>
      <c r="AX197" s="150">
        <v>0</v>
      </c>
      <c r="AY197" s="150"/>
      <c r="AZ197" s="150"/>
      <c r="BA197" s="150"/>
      <c r="BB197" s="150"/>
      <c r="BC197" s="150"/>
      <c r="BD197" s="150"/>
      <c r="BE197" s="150"/>
    </row>
    <row r="198" spans="1:67" s="159" customFormat="1">
      <c r="F198" s="206" t="s">
        <v>2143</v>
      </c>
      <c r="G198" s="363" t="s">
        <v>2144</v>
      </c>
      <c r="H198" s="206"/>
      <c r="I198" s="159" t="s">
        <v>2132</v>
      </c>
      <c r="J198" s="207"/>
      <c r="K198" s="207"/>
      <c r="L198" s="159" t="s">
        <v>2132</v>
      </c>
      <c r="O198" s="150" t="s">
        <v>304</v>
      </c>
      <c r="Q198" s="150"/>
      <c r="R198" s="150" t="s">
        <v>456</v>
      </c>
      <c r="S198" s="150" t="s">
        <v>475</v>
      </c>
      <c r="T198" s="150"/>
      <c r="U198" s="208"/>
      <c r="V198" s="150"/>
      <c r="W198" s="150"/>
      <c r="X198" s="150"/>
      <c r="Y198" s="150"/>
      <c r="Z198" s="150"/>
      <c r="AA198" s="150" t="s">
        <v>447</v>
      </c>
      <c r="AB198" s="150" t="s">
        <v>447</v>
      </c>
      <c r="AC198" s="209"/>
      <c r="AD198" s="150"/>
      <c r="AE198" s="150">
        <v>1</v>
      </c>
      <c r="AF198" s="150" t="s">
        <v>1351</v>
      </c>
      <c r="AG198" s="364"/>
      <c r="AH198" s="150" t="s">
        <v>2134</v>
      </c>
      <c r="AI198" s="150" t="s">
        <v>2135</v>
      </c>
      <c r="AJ198" s="150"/>
      <c r="AK198" s="220" t="s">
        <v>2145</v>
      </c>
      <c r="AL198" s="150" t="s">
        <v>1482</v>
      </c>
      <c r="AM198" s="150"/>
      <c r="AN198" s="150"/>
      <c r="AO198" s="150" t="s">
        <v>264</v>
      </c>
      <c r="AP198" s="150"/>
      <c r="AQ198" s="150"/>
      <c r="AR198" s="150">
        <v>100</v>
      </c>
      <c r="AS198" s="150">
        <v>0</v>
      </c>
      <c r="AT198" s="150" t="s">
        <v>2137</v>
      </c>
      <c r="AU198" s="150">
        <v>0</v>
      </c>
      <c r="AV198" s="150"/>
      <c r="AW198" s="150">
        <v>0</v>
      </c>
      <c r="AX198" s="150">
        <v>0</v>
      </c>
      <c r="AY198" s="150"/>
      <c r="AZ198" s="150"/>
      <c r="BA198" s="150"/>
      <c r="BB198" s="150"/>
      <c r="BC198" s="150"/>
      <c r="BD198" s="150"/>
      <c r="BE198" s="150"/>
    </row>
    <row r="199" spans="1:67" s="159" customFormat="1">
      <c r="F199" s="206" t="s">
        <v>2146</v>
      </c>
      <c r="G199" s="363" t="s">
        <v>2147</v>
      </c>
      <c r="H199" s="206"/>
      <c r="I199" s="159" t="s">
        <v>2132</v>
      </c>
      <c r="J199" s="207"/>
      <c r="K199" s="207"/>
      <c r="L199" s="159" t="s">
        <v>2132</v>
      </c>
      <c r="O199" s="150" t="s">
        <v>304</v>
      </c>
      <c r="Q199" s="150"/>
      <c r="R199" s="150" t="s">
        <v>456</v>
      </c>
      <c r="S199" s="150" t="s">
        <v>475</v>
      </c>
      <c r="T199" s="150"/>
      <c r="U199" s="208"/>
      <c r="V199" s="150"/>
      <c r="W199" s="150"/>
      <c r="X199" s="150"/>
      <c r="Y199" s="150"/>
      <c r="Z199" s="150"/>
      <c r="AA199" s="150" t="s">
        <v>2148</v>
      </c>
      <c r="AB199" s="150" t="s">
        <v>2148</v>
      </c>
      <c r="AC199" s="209"/>
      <c r="AD199" s="150"/>
      <c r="AE199" s="150">
        <v>1</v>
      </c>
      <c r="AF199" s="150" t="s">
        <v>1351</v>
      </c>
      <c r="AG199" s="364"/>
      <c r="AH199" s="150" t="s">
        <v>2134</v>
      </c>
      <c r="AI199" s="150" t="s">
        <v>2135</v>
      </c>
      <c r="AJ199" s="150"/>
      <c r="AK199" s="220" t="s">
        <v>2149</v>
      </c>
      <c r="AL199" s="150" t="s">
        <v>1482</v>
      </c>
      <c r="AM199" s="150"/>
      <c r="AN199" s="150"/>
      <c r="AO199" s="150" t="s">
        <v>264</v>
      </c>
      <c r="AP199" s="150"/>
      <c r="AQ199" s="150"/>
      <c r="AR199" s="150">
        <v>100</v>
      </c>
      <c r="AS199" s="150">
        <v>0</v>
      </c>
      <c r="AT199" s="150" t="s">
        <v>2137</v>
      </c>
      <c r="AU199" s="150">
        <v>0</v>
      </c>
      <c r="AV199" s="150"/>
      <c r="AW199" s="150">
        <v>0</v>
      </c>
      <c r="AX199" s="150">
        <v>0</v>
      </c>
      <c r="AY199" s="150"/>
      <c r="AZ199" s="150"/>
      <c r="BA199" s="150"/>
      <c r="BB199" s="150"/>
      <c r="BC199" s="150"/>
      <c r="BD199" s="150"/>
      <c r="BE199" s="150"/>
    </row>
    <row r="200" spans="1:67" s="159" customFormat="1" ht="31.2">
      <c r="F200" s="206" t="s">
        <v>2150</v>
      </c>
      <c r="G200" s="159" t="s">
        <v>2151</v>
      </c>
      <c r="H200" s="206"/>
      <c r="I200" s="159" t="s">
        <v>2132</v>
      </c>
      <c r="J200" s="207" t="s">
        <v>2152</v>
      </c>
      <c r="K200" s="207"/>
      <c r="L200" s="159" t="s">
        <v>2132</v>
      </c>
      <c r="O200" s="159" t="s">
        <v>304</v>
      </c>
      <c r="Q200" s="150"/>
      <c r="R200" s="150" t="s">
        <v>456</v>
      </c>
      <c r="S200" s="150" t="s">
        <v>475</v>
      </c>
      <c r="T200" s="150"/>
      <c r="U200" s="208"/>
      <c r="V200" s="150"/>
      <c r="W200" s="150"/>
      <c r="X200" s="150"/>
      <c r="Y200" s="150"/>
      <c r="Z200" s="150"/>
      <c r="AA200" s="150" t="s">
        <v>2153</v>
      </c>
      <c r="AB200" s="150" t="s">
        <v>2154</v>
      </c>
      <c r="AC200" s="209"/>
      <c r="AD200" s="150"/>
      <c r="AE200" s="150" t="s">
        <v>2155</v>
      </c>
      <c r="AF200" s="150" t="s">
        <v>1450</v>
      </c>
      <c r="AG200" s="364"/>
      <c r="AH200" s="240" t="s">
        <v>2156</v>
      </c>
      <c r="AI200" s="150" t="s">
        <v>2157</v>
      </c>
      <c r="AJ200" s="150"/>
      <c r="AK200" s="150" t="s">
        <v>2158</v>
      </c>
      <c r="AL200" s="150" t="s">
        <v>2159</v>
      </c>
      <c r="AM200" s="209"/>
      <c r="AO200" s="150" t="s">
        <v>264</v>
      </c>
      <c r="AT200" s="365"/>
      <c r="BD200" s="366"/>
    </row>
    <row r="201" spans="1:67" s="159" customFormat="1">
      <c r="F201" s="206" t="s">
        <v>2160</v>
      </c>
      <c r="G201" s="159" t="s">
        <v>2161</v>
      </c>
      <c r="H201" s="206"/>
      <c r="J201" s="207"/>
      <c r="K201" s="207"/>
      <c r="Q201" s="150"/>
      <c r="R201" s="150"/>
      <c r="S201" s="150"/>
      <c r="T201" s="150"/>
      <c r="U201" s="208"/>
      <c r="V201" s="150"/>
      <c r="W201" s="150"/>
      <c r="X201" s="150"/>
      <c r="Y201" s="150"/>
      <c r="Z201" s="150"/>
      <c r="AA201" s="150" t="s">
        <v>2157</v>
      </c>
      <c r="AB201" s="150" t="s">
        <v>2157</v>
      </c>
      <c r="AC201" s="209"/>
      <c r="AD201" s="150"/>
      <c r="AE201" s="150">
        <v>1</v>
      </c>
      <c r="AF201" s="150" t="s">
        <v>1451</v>
      </c>
      <c r="AG201" s="364"/>
      <c r="AH201" s="150" t="s">
        <v>2162</v>
      </c>
      <c r="AI201" s="150" t="s">
        <v>2163</v>
      </c>
      <c r="AJ201" s="150"/>
      <c r="AK201" s="220" t="s">
        <v>2164</v>
      </c>
      <c r="AL201" s="150" t="s">
        <v>1450</v>
      </c>
      <c r="AM201" s="209"/>
      <c r="AO201" s="150" t="s">
        <v>264</v>
      </c>
      <c r="AT201" s="365"/>
      <c r="BD201" s="366"/>
    </row>
    <row r="202" spans="1:67" s="159" customFormat="1">
      <c r="F202" s="206" t="s">
        <v>2165</v>
      </c>
      <c r="G202" s="159" t="s">
        <v>2166</v>
      </c>
      <c r="H202" s="206"/>
      <c r="J202" s="207"/>
      <c r="K202" s="207"/>
      <c r="Q202" s="150"/>
      <c r="R202" s="150"/>
      <c r="S202" s="150"/>
      <c r="T202" s="150"/>
      <c r="U202" s="208"/>
      <c r="V202" s="150"/>
      <c r="W202" s="150"/>
      <c r="X202" s="150"/>
      <c r="Y202" s="150"/>
      <c r="Z202" s="150"/>
      <c r="AA202" s="150" t="s">
        <v>2167</v>
      </c>
      <c r="AB202" s="150" t="s">
        <v>2167</v>
      </c>
      <c r="AC202" s="209"/>
      <c r="AD202" s="150"/>
      <c r="AE202" s="150">
        <v>1</v>
      </c>
      <c r="AF202" s="150" t="s">
        <v>1351</v>
      </c>
      <c r="AG202" s="364"/>
      <c r="AH202" s="150" t="s">
        <v>431</v>
      </c>
      <c r="AI202" s="150" t="s">
        <v>431</v>
      </c>
      <c r="AJ202" s="364"/>
      <c r="AK202" s="220">
        <v>1</v>
      </c>
      <c r="AL202" s="150" t="s">
        <v>1351</v>
      </c>
      <c r="AM202" s="209"/>
      <c r="AO202" s="150" t="s">
        <v>264</v>
      </c>
      <c r="AT202" s="365"/>
      <c r="BD202" s="366"/>
    </row>
    <row r="203" spans="1:67">
      <c r="AG203" s="26"/>
      <c r="AH203" s="26"/>
      <c r="AI203" s="24"/>
      <c r="AJ203" s="26"/>
      <c r="AK203" s="165"/>
      <c r="AL203" s="24"/>
      <c r="AT203" s="28"/>
    </row>
    <row r="204" spans="1:67">
      <c r="AG204" s="26"/>
      <c r="AH204" s="26"/>
      <c r="AI204" s="24"/>
      <c r="AJ204" s="26"/>
      <c r="AK204" s="165"/>
      <c r="AL204" s="24"/>
      <c r="AT204" s="28"/>
    </row>
    <row r="205" spans="1:67">
      <c r="AG205" s="26"/>
      <c r="AH205" s="26"/>
      <c r="AI205" s="24"/>
      <c r="AJ205" s="26"/>
      <c r="AK205" s="165"/>
      <c r="AL205" s="24"/>
      <c r="AT205" s="28"/>
    </row>
    <row r="206" spans="1:67">
      <c r="AG206" s="26"/>
      <c r="AH206" s="26"/>
      <c r="AI206" s="24"/>
      <c r="AJ206" s="26"/>
      <c r="AK206" s="165"/>
      <c r="AL206" s="24"/>
      <c r="AT206" s="28"/>
    </row>
    <row r="207" spans="1:67">
      <c r="AG207" s="26"/>
      <c r="AH207" s="26"/>
      <c r="AI207" s="24"/>
      <c r="AJ207" s="26"/>
      <c r="AK207" s="165"/>
      <c r="AL207" s="24"/>
      <c r="AT207" s="28"/>
    </row>
    <row r="208" spans="1:67">
      <c r="AG208" s="26"/>
      <c r="AH208" s="26"/>
      <c r="AI208" s="24"/>
      <c r="AJ208" s="26"/>
      <c r="AK208" s="165"/>
      <c r="AL208" s="24"/>
      <c r="AT208" s="28"/>
    </row>
    <row r="209" spans="33:46">
      <c r="AG209" s="26"/>
      <c r="AH209" s="26"/>
      <c r="AI209" s="24"/>
      <c r="AJ209" s="26"/>
      <c r="AK209" s="362"/>
      <c r="AL209" s="26"/>
      <c r="AT209" s="28"/>
    </row>
    <row r="210" spans="33:46">
      <c r="AG210" s="26"/>
      <c r="AH210" s="26"/>
      <c r="AI210" s="26"/>
      <c r="AJ210" s="26"/>
      <c r="AK210" s="362"/>
      <c r="AL210" s="26"/>
      <c r="AT210" s="28"/>
    </row>
    <row r="211" spans="33:46">
      <c r="AG211" s="26"/>
      <c r="AH211" s="26"/>
      <c r="AI211" s="26"/>
      <c r="AJ211" s="26"/>
      <c r="AK211" s="362"/>
      <c r="AL211" s="26"/>
      <c r="AT211" s="28"/>
    </row>
    <row r="212" spans="33:46">
      <c r="AG212" s="26"/>
      <c r="AH212" s="26"/>
      <c r="AI212" s="26"/>
      <c r="AJ212" s="26"/>
      <c r="AK212" s="362"/>
      <c r="AL212" s="26"/>
      <c r="AT212" s="28"/>
    </row>
    <row r="213" spans="33:46">
      <c r="AG213" s="26"/>
      <c r="AH213" s="26"/>
      <c r="AI213" s="26"/>
      <c r="AJ213" s="26"/>
      <c r="AK213" s="362"/>
      <c r="AL213" s="26"/>
      <c r="AT213" s="28"/>
    </row>
    <row r="214" spans="33:46">
      <c r="AG214" s="26"/>
      <c r="AH214" s="26"/>
      <c r="AI214" s="26"/>
      <c r="AJ214" s="26"/>
      <c r="AK214" s="362"/>
      <c r="AL214" s="26"/>
      <c r="AT214" s="28"/>
    </row>
    <row r="215" spans="33:46">
      <c r="AG215" s="26"/>
      <c r="AH215" s="26"/>
      <c r="AI215" s="26"/>
      <c r="AJ215" s="26"/>
      <c r="AK215" s="362"/>
      <c r="AL215" s="26"/>
      <c r="AT215" s="28"/>
    </row>
    <row r="216" spans="33:46">
      <c r="AG216" s="26"/>
      <c r="AH216" s="26"/>
      <c r="AI216" s="26"/>
      <c r="AJ216" s="26"/>
      <c r="AK216" s="26"/>
      <c r="AL216" s="26"/>
      <c r="AT216" s="28"/>
    </row>
    <row r="217" spans="33:46">
      <c r="AG217" s="26"/>
      <c r="AH217" s="26"/>
      <c r="AI217" s="26"/>
      <c r="AJ217" s="26"/>
      <c r="AK217" s="26"/>
      <c r="AL217" s="26"/>
      <c r="AT217" s="28"/>
    </row>
    <row r="218" spans="33:46">
      <c r="AG218" s="26"/>
      <c r="AH218" s="26"/>
      <c r="AI218" s="26"/>
      <c r="AJ218" s="26"/>
      <c r="AK218" s="26"/>
      <c r="AL218" s="26"/>
      <c r="AT218" s="28"/>
    </row>
    <row r="219" spans="33:46">
      <c r="AG219" s="26"/>
      <c r="AH219" s="26"/>
      <c r="AI219" s="26"/>
      <c r="AJ219" s="26"/>
      <c r="AK219" s="26"/>
      <c r="AL219" s="26"/>
      <c r="AT219" s="28"/>
    </row>
    <row r="220" spans="33:46">
      <c r="AG220" s="26"/>
      <c r="AH220" s="26"/>
      <c r="AI220" s="26"/>
      <c r="AJ220" s="26"/>
      <c r="AK220" s="26"/>
      <c r="AL220" s="26"/>
      <c r="AT220" s="28"/>
    </row>
    <row r="221" spans="33:46">
      <c r="AG221" s="26"/>
      <c r="AH221" s="26"/>
      <c r="AI221" s="26"/>
      <c r="AJ221" s="26"/>
      <c r="AK221" s="26"/>
      <c r="AL221" s="26"/>
      <c r="AT221" s="28"/>
    </row>
    <row r="222" spans="33:46">
      <c r="AG222" s="26"/>
      <c r="AH222" s="26"/>
      <c r="AI222" s="26"/>
      <c r="AJ222" s="26"/>
      <c r="AK222" s="26"/>
      <c r="AL222" s="26"/>
      <c r="AT222" s="28"/>
    </row>
    <row r="223" spans="33:46">
      <c r="AG223" s="26"/>
      <c r="AH223" s="26"/>
      <c r="AI223" s="26"/>
      <c r="AJ223" s="26"/>
      <c r="AK223" s="26"/>
      <c r="AL223" s="26"/>
      <c r="AT223" s="28"/>
    </row>
    <row r="224" spans="33:46">
      <c r="AG224" s="26"/>
      <c r="AH224" s="26"/>
      <c r="AI224" s="26"/>
      <c r="AJ224" s="26"/>
      <c r="AK224" s="26"/>
      <c r="AL224" s="26"/>
      <c r="AT224" s="28"/>
    </row>
    <row r="225" spans="33:46">
      <c r="AG225" s="26"/>
      <c r="AH225" s="26"/>
      <c r="AI225" s="26"/>
      <c r="AJ225" s="26"/>
      <c r="AK225" s="26"/>
      <c r="AL225" s="26"/>
      <c r="AT225" s="28"/>
    </row>
    <row r="226" spans="33:46">
      <c r="AG226" s="26"/>
      <c r="AH226" s="26"/>
      <c r="AI226" s="26"/>
      <c r="AJ226" s="26"/>
      <c r="AK226" s="26"/>
      <c r="AL226" s="26"/>
      <c r="AT226" s="28"/>
    </row>
    <row r="227" spans="33:46">
      <c r="AG227" s="26"/>
      <c r="AH227" s="26"/>
      <c r="AI227" s="26"/>
      <c r="AJ227" s="26"/>
      <c r="AK227" s="26"/>
      <c r="AL227" s="26"/>
      <c r="AT227" s="28"/>
    </row>
    <row r="228" spans="33:46">
      <c r="AG228" s="26"/>
      <c r="AH228" s="26"/>
      <c r="AI228" s="26"/>
      <c r="AJ228" s="26"/>
      <c r="AK228" s="26"/>
      <c r="AL228" s="26"/>
      <c r="AT228" s="28"/>
    </row>
    <row r="229" spans="33:46">
      <c r="AG229" s="26"/>
      <c r="AH229" s="26"/>
      <c r="AI229" s="26"/>
      <c r="AJ229" s="26"/>
      <c r="AK229" s="26"/>
      <c r="AL229" s="26"/>
      <c r="AT229" s="28"/>
    </row>
    <row r="230" spans="33:46">
      <c r="AG230" s="26"/>
      <c r="AH230" s="26"/>
      <c r="AI230" s="26"/>
      <c r="AJ230" s="26"/>
      <c r="AK230" s="26"/>
      <c r="AL230" s="26"/>
      <c r="AT230" s="28"/>
    </row>
    <row r="231" spans="33:46">
      <c r="AG231" s="26"/>
      <c r="AH231" s="26"/>
      <c r="AI231" s="26"/>
      <c r="AJ231" s="26"/>
      <c r="AK231" s="26"/>
      <c r="AL231" s="26"/>
      <c r="AT231" s="28"/>
    </row>
    <row r="232" spans="33:46">
      <c r="AG232" s="26"/>
      <c r="AH232" s="26"/>
      <c r="AI232" s="26"/>
      <c r="AJ232" s="26"/>
      <c r="AK232" s="26"/>
      <c r="AL232" s="26"/>
      <c r="AT232" s="28"/>
    </row>
    <row r="233" spans="33:46">
      <c r="AG233" s="26"/>
      <c r="AH233" s="26"/>
      <c r="AI233" s="26"/>
      <c r="AJ233" s="26"/>
      <c r="AK233" s="26"/>
      <c r="AL233" s="26"/>
      <c r="AT233" s="28"/>
    </row>
    <row r="234" spans="33:46">
      <c r="AG234" s="26"/>
      <c r="AH234" s="26"/>
      <c r="AI234" s="26"/>
      <c r="AJ234" s="26"/>
      <c r="AK234" s="26"/>
      <c r="AL234" s="26"/>
      <c r="AT234" s="28"/>
    </row>
    <row r="235" spans="33:46">
      <c r="AG235" s="26"/>
      <c r="AH235" s="26"/>
      <c r="AI235" s="26"/>
      <c r="AJ235" s="26"/>
      <c r="AK235" s="26"/>
      <c r="AL235" s="26"/>
      <c r="AT235" s="28"/>
    </row>
    <row r="236" spans="33:46">
      <c r="AG236" s="26"/>
      <c r="AH236" s="26"/>
      <c r="AI236" s="26"/>
      <c r="AJ236" s="26"/>
      <c r="AK236" s="26"/>
      <c r="AL236" s="26"/>
      <c r="AT236" s="28"/>
    </row>
    <row r="237" spans="33:46">
      <c r="AG237" s="26"/>
      <c r="AH237" s="26"/>
      <c r="AI237" s="26"/>
      <c r="AJ237" s="26"/>
      <c r="AK237" s="26"/>
      <c r="AL237" s="26"/>
      <c r="AT237" s="28"/>
    </row>
    <row r="238" spans="33:46">
      <c r="AG238" s="26"/>
      <c r="AH238" s="26"/>
      <c r="AI238" s="26"/>
      <c r="AJ238" s="26"/>
      <c r="AK238" s="26"/>
      <c r="AL238" s="26"/>
      <c r="AT238" s="28"/>
    </row>
    <row r="239" spans="33:46">
      <c r="AG239" s="26"/>
      <c r="AH239" s="26"/>
      <c r="AI239" s="26"/>
      <c r="AJ239" s="26"/>
      <c r="AK239" s="26"/>
      <c r="AL239" s="26"/>
      <c r="AT239" s="28"/>
    </row>
    <row r="240" spans="33:46">
      <c r="AG240" s="26"/>
      <c r="AH240" s="26"/>
      <c r="AI240" s="26"/>
      <c r="AJ240" s="26"/>
      <c r="AK240" s="26"/>
      <c r="AL240" s="26"/>
      <c r="AT240" s="28"/>
    </row>
    <row r="241" spans="33:46">
      <c r="AG241" s="26"/>
      <c r="AH241" s="26"/>
      <c r="AI241" s="26"/>
      <c r="AJ241" s="26"/>
      <c r="AK241" s="26"/>
      <c r="AL241" s="26"/>
      <c r="AT241" s="28"/>
    </row>
    <row r="242" spans="33:46">
      <c r="AG242" s="26"/>
      <c r="AH242" s="26"/>
      <c r="AI242" s="26"/>
      <c r="AJ242" s="26"/>
      <c r="AK242" s="26"/>
      <c r="AL242" s="26"/>
      <c r="AT242" s="28"/>
    </row>
    <row r="243" spans="33:46">
      <c r="AG243" s="26"/>
      <c r="AH243" s="26"/>
      <c r="AI243" s="26"/>
      <c r="AJ243" s="26"/>
      <c r="AK243" s="26"/>
      <c r="AL243" s="26"/>
      <c r="AT243" s="28"/>
    </row>
    <row r="244" spans="33:46">
      <c r="AG244" s="26"/>
      <c r="AH244" s="26"/>
      <c r="AI244" s="26"/>
      <c r="AJ244" s="26"/>
      <c r="AK244" s="26"/>
      <c r="AL244" s="26"/>
      <c r="AT244" s="28"/>
    </row>
    <row r="245" spans="33:46">
      <c r="AG245" s="26"/>
      <c r="AH245" s="26"/>
      <c r="AI245" s="26"/>
      <c r="AJ245" s="26"/>
      <c r="AK245" s="26"/>
      <c r="AL245" s="26"/>
      <c r="AT245" s="28"/>
    </row>
    <row r="246" spans="33:46">
      <c r="AG246" s="26"/>
      <c r="AH246" s="26"/>
      <c r="AI246" s="26"/>
      <c r="AJ246" s="26"/>
      <c r="AK246" s="26"/>
      <c r="AL246" s="26"/>
      <c r="AT246" s="28"/>
    </row>
    <row r="247" spans="33:46">
      <c r="AG247" s="26"/>
      <c r="AH247" s="26"/>
      <c r="AI247" s="26"/>
      <c r="AJ247" s="26"/>
      <c r="AK247" s="26"/>
      <c r="AL247" s="26"/>
      <c r="AT247" s="28"/>
    </row>
    <row r="248" spans="33:46">
      <c r="AG248" s="26"/>
      <c r="AH248" s="26"/>
      <c r="AI248" s="26"/>
      <c r="AJ248" s="26"/>
      <c r="AK248" s="26"/>
      <c r="AL248" s="26"/>
      <c r="AT248" s="28"/>
    </row>
    <row r="249" spans="33:46">
      <c r="AG249" s="26"/>
      <c r="AH249" s="26"/>
      <c r="AI249" s="26"/>
      <c r="AJ249" s="26"/>
      <c r="AK249" s="26"/>
      <c r="AL249" s="26"/>
      <c r="AT249" s="28"/>
    </row>
    <row r="250" spans="33:46">
      <c r="AG250" s="26"/>
      <c r="AH250" s="26"/>
      <c r="AI250" s="26"/>
      <c r="AJ250" s="26"/>
      <c r="AK250" s="26"/>
      <c r="AL250" s="26"/>
      <c r="AT250" s="28"/>
    </row>
    <row r="251" spans="33:46">
      <c r="AG251" s="26"/>
      <c r="AH251" s="26"/>
      <c r="AI251" s="26"/>
      <c r="AJ251" s="26"/>
      <c r="AK251" s="26"/>
      <c r="AL251" s="26"/>
      <c r="AT251" s="28"/>
    </row>
    <row r="252" spans="33:46">
      <c r="AG252" s="26"/>
      <c r="AH252" s="26"/>
      <c r="AI252" s="26"/>
      <c r="AJ252" s="26"/>
      <c r="AK252" s="26"/>
      <c r="AL252" s="26"/>
      <c r="AT252" s="28"/>
    </row>
    <row r="253" spans="33:46">
      <c r="AG253" s="26"/>
      <c r="AH253" s="26"/>
      <c r="AI253" s="26"/>
      <c r="AJ253" s="26"/>
      <c r="AK253" s="26"/>
      <c r="AL253" s="26"/>
      <c r="AT253" s="28"/>
    </row>
    <row r="254" spans="33:46">
      <c r="AG254" s="26"/>
      <c r="AH254" s="26"/>
      <c r="AI254" s="26"/>
      <c r="AJ254" s="26"/>
      <c r="AK254" s="26"/>
      <c r="AL254" s="26"/>
      <c r="AT254" s="28"/>
    </row>
    <row r="255" spans="33:46">
      <c r="AG255" s="26"/>
      <c r="AH255" s="26"/>
      <c r="AI255" s="26"/>
      <c r="AJ255" s="26"/>
      <c r="AK255" s="26"/>
      <c r="AL255" s="26"/>
      <c r="AT255" s="28"/>
    </row>
    <row r="256" spans="33:46">
      <c r="AG256" s="26"/>
      <c r="AH256" s="26"/>
      <c r="AI256" s="26"/>
      <c r="AJ256" s="26"/>
      <c r="AK256" s="26"/>
      <c r="AL256" s="26"/>
      <c r="AT256" s="28"/>
    </row>
    <row r="257" spans="33:46">
      <c r="AG257" s="26"/>
      <c r="AH257" s="26"/>
      <c r="AI257" s="26"/>
      <c r="AJ257" s="26"/>
      <c r="AK257" s="26"/>
      <c r="AL257" s="26"/>
      <c r="AT257" s="28"/>
    </row>
    <row r="258" spans="33:46">
      <c r="AG258" s="26"/>
      <c r="AH258" s="26"/>
      <c r="AI258" s="26"/>
      <c r="AJ258" s="26"/>
      <c r="AK258" s="26"/>
      <c r="AL258" s="26"/>
      <c r="AT258" s="28"/>
    </row>
    <row r="259" spans="33:46">
      <c r="AG259" s="26"/>
      <c r="AH259" s="26"/>
      <c r="AI259" s="26"/>
      <c r="AJ259" s="26"/>
      <c r="AK259" s="26"/>
      <c r="AL259" s="26"/>
      <c r="AT259" s="28"/>
    </row>
    <row r="260" spans="33:46">
      <c r="AG260" s="26"/>
      <c r="AH260" s="26"/>
      <c r="AI260" s="26"/>
      <c r="AJ260" s="26"/>
      <c r="AK260" s="26"/>
      <c r="AL260" s="26"/>
      <c r="AT260" s="28"/>
    </row>
    <row r="261" spans="33:46">
      <c r="AG261" s="26"/>
      <c r="AH261" s="26"/>
      <c r="AI261" s="26"/>
      <c r="AJ261" s="26"/>
      <c r="AK261" s="26"/>
      <c r="AL261" s="26"/>
      <c r="AT261" s="28"/>
    </row>
    <row r="262" spans="33:46">
      <c r="AG262" s="26"/>
      <c r="AH262" s="26"/>
      <c r="AI262" s="26"/>
      <c r="AJ262" s="26"/>
      <c r="AK262" s="26"/>
      <c r="AL262" s="26"/>
      <c r="AT262" s="28"/>
    </row>
    <row r="263" spans="33:46">
      <c r="AG263" s="26"/>
      <c r="AH263" s="26"/>
      <c r="AI263" s="26"/>
      <c r="AJ263" s="26"/>
      <c r="AK263" s="26"/>
      <c r="AL263" s="26"/>
      <c r="AT263" s="28"/>
    </row>
    <row r="264" spans="33:46">
      <c r="AG264" s="26"/>
      <c r="AH264" s="26"/>
      <c r="AI264" s="26"/>
      <c r="AJ264" s="26"/>
      <c r="AK264" s="26"/>
      <c r="AL264" s="26"/>
      <c r="AT264" s="28"/>
    </row>
    <row r="265" spans="33:46">
      <c r="AG265" s="26"/>
      <c r="AH265" s="26"/>
      <c r="AI265" s="26"/>
      <c r="AJ265" s="26"/>
      <c r="AK265" s="26"/>
      <c r="AL265" s="26"/>
      <c r="AT265" s="28"/>
    </row>
    <row r="266" spans="33:46">
      <c r="AG266" s="26"/>
      <c r="AH266" s="26"/>
      <c r="AI266" s="26"/>
      <c r="AJ266" s="26"/>
      <c r="AK266" s="26"/>
      <c r="AL266" s="26"/>
      <c r="AT266" s="28"/>
    </row>
    <row r="267" spans="33:46">
      <c r="AG267" s="26"/>
      <c r="AH267" s="26"/>
      <c r="AI267" s="26"/>
      <c r="AJ267" s="26"/>
      <c r="AK267" s="26"/>
      <c r="AL267" s="26"/>
      <c r="AT267" s="28"/>
    </row>
    <row r="268" spans="33:46">
      <c r="AG268" s="26"/>
      <c r="AH268" s="26"/>
      <c r="AI268" s="26"/>
      <c r="AJ268" s="26"/>
      <c r="AK268" s="26"/>
      <c r="AL268" s="26"/>
      <c r="AT268" s="28"/>
    </row>
    <row r="269" spans="33:46">
      <c r="AG269" s="26"/>
      <c r="AH269" s="26"/>
      <c r="AI269" s="26"/>
      <c r="AJ269" s="26"/>
      <c r="AK269" s="26"/>
      <c r="AL269" s="26"/>
      <c r="AT269" s="28"/>
    </row>
    <row r="270" spans="33:46">
      <c r="AG270" s="26"/>
      <c r="AH270" s="26"/>
      <c r="AI270" s="26"/>
      <c r="AJ270" s="26"/>
      <c r="AK270" s="26"/>
      <c r="AL270" s="26"/>
      <c r="AT270" s="28"/>
    </row>
    <row r="271" spans="33:46">
      <c r="AG271" s="26"/>
      <c r="AH271" s="26"/>
      <c r="AI271" s="26"/>
      <c r="AJ271" s="26"/>
      <c r="AK271" s="26"/>
      <c r="AL271" s="26"/>
      <c r="AT271" s="28"/>
    </row>
    <row r="272" spans="33:46">
      <c r="AG272" s="26"/>
      <c r="AH272" s="26"/>
      <c r="AI272" s="26"/>
      <c r="AJ272" s="26"/>
      <c r="AK272" s="26"/>
      <c r="AL272" s="26"/>
      <c r="AT272" s="28"/>
    </row>
    <row r="273" spans="33:46">
      <c r="AG273" s="26"/>
      <c r="AH273" s="26"/>
      <c r="AI273" s="26"/>
      <c r="AJ273" s="26"/>
      <c r="AK273" s="26"/>
      <c r="AL273" s="26"/>
      <c r="AT273" s="28"/>
    </row>
    <row r="274" spans="33:46">
      <c r="AG274" s="26"/>
      <c r="AH274" s="26"/>
      <c r="AI274" s="26"/>
      <c r="AJ274" s="26"/>
      <c r="AK274" s="26"/>
      <c r="AL274" s="26"/>
      <c r="AT274" s="28"/>
    </row>
    <row r="275" spans="33:46">
      <c r="AG275" s="26"/>
      <c r="AH275" s="26"/>
      <c r="AI275" s="26"/>
      <c r="AJ275" s="26"/>
      <c r="AK275" s="26"/>
      <c r="AL275" s="26"/>
      <c r="AT275" s="28"/>
    </row>
    <row r="276" spans="33:46">
      <c r="AG276" s="26"/>
      <c r="AH276" s="26"/>
      <c r="AI276" s="26"/>
      <c r="AJ276" s="26"/>
      <c r="AK276" s="26"/>
      <c r="AL276" s="26"/>
      <c r="AT276" s="28"/>
    </row>
    <row r="277" spans="33:46">
      <c r="AG277" s="26"/>
      <c r="AH277" s="26"/>
      <c r="AI277" s="26"/>
      <c r="AJ277" s="26"/>
      <c r="AK277" s="26"/>
      <c r="AL277" s="26"/>
      <c r="AT277" s="28"/>
    </row>
    <row r="278" spans="33:46">
      <c r="AG278" s="26"/>
      <c r="AH278" s="26"/>
      <c r="AI278" s="26"/>
      <c r="AJ278" s="26"/>
      <c r="AK278" s="26"/>
      <c r="AL278" s="26"/>
      <c r="AT278" s="28"/>
    </row>
    <row r="279" spans="33:46">
      <c r="AG279" s="26"/>
      <c r="AH279" s="26"/>
      <c r="AI279" s="26"/>
      <c r="AJ279" s="26"/>
      <c r="AK279" s="26"/>
      <c r="AL279" s="26"/>
      <c r="AT279" s="28"/>
    </row>
    <row r="280" spans="33:46">
      <c r="AG280" s="26"/>
      <c r="AH280" s="26"/>
      <c r="AI280" s="26"/>
      <c r="AJ280" s="26"/>
      <c r="AK280" s="26"/>
      <c r="AL280" s="26"/>
      <c r="AT280" s="28"/>
    </row>
    <row r="281" spans="33:46">
      <c r="AG281" s="26"/>
      <c r="AH281" s="26"/>
      <c r="AI281" s="26"/>
      <c r="AJ281" s="26"/>
      <c r="AK281" s="26"/>
      <c r="AL281" s="26"/>
      <c r="AT281" s="28"/>
    </row>
    <row r="282" spans="33:46">
      <c r="AG282" s="26"/>
      <c r="AH282" s="26"/>
      <c r="AI282" s="26"/>
      <c r="AJ282" s="26"/>
      <c r="AK282" s="26"/>
      <c r="AL282" s="26"/>
      <c r="AT282" s="28"/>
    </row>
    <row r="283" spans="33:46">
      <c r="AG283" s="26"/>
      <c r="AH283" s="26"/>
      <c r="AI283" s="26"/>
      <c r="AJ283" s="26"/>
      <c r="AK283" s="26"/>
      <c r="AL283" s="26"/>
      <c r="AT283" s="28"/>
    </row>
    <row r="284" spans="33:46">
      <c r="AG284" s="26"/>
      <c r="AH284" s="26"/>
      <c r="AI284" s="26"/>
      <c r="AJ284" s="26"/>
      <c r="AK284" s="26"/>
      <c r="AL284" s="26"/>
      <c r="AT284" s="28"/>
    </row>
    <row r="285" spans="33:46">
      <c r="AG285" s="26"/>
      <c r="AH285" s="26"/>
      <c r="AI285" s="26"/>
      <c r="AJ285" s="26"/>
      <c r="AK285" s="26"/>
      <c r="AL285" s="26"/>
      <c r="AT285" s="28"/>
    </row>
    <row r="286" spans="33:46">
      <c r="AG286" s="26"/>
      <c r="AH286" s="26"/>
      <c r="AI286" s="26"/>
      <c r="AJ286" s="26"/>
      <c r="AK286" s="26"/>
      <c r="AL286" s="26"/>
      <c r="AT286" s="28"/>
    </row>
    <row r="287" spans="33:46">
      <c r="AG287" s="26"/>
      <c r="AH287" s="26"/>
      <c r="AI287" s="26"/>
      <c r="AJ287" s="26"/>
      <c r="AK287" s="26"/>
      <c r="AL287" s="26"/>
      <c r="AT287" s="28"/>
    </row>
    <row r="288" spans="33:46">
      <c r="AG288" s="26"/>
      <c r="AH288" s="26"/>
      <c r="AI288" s="26"/>
      <c r="AJ288" s="26"/>
      <c r="AK288" s="26"/>
      <c r="AL288" s="26"/>
      <c r="AT288" s="28"/>
    </row>
    <row r="289" spans="33:46">
      <c r="AG289" s="26"/>
      <c r="AH289" s="26"/>
      <c r="AI289" s="26"/>
      <c r="AJ289" s="26"/>
      <c r="AK289" s="26"/>
      <c r="AL289" s="26"/>
      <c r="AT289" s="28"/>
    </row>
    <row r="290" spans="33:46">
      <c r="AG290" s="26"/>
      <c r="AH290" s="26"/>
      <c r="AI290" s="26"/>
      <c r="AJ290" s="26"/>
      <c r="AK290" s="26"/>
      <c r="AL290" s="26"/>
      <c r="AT290" s="28"/>
    </row>
    <row r="291" spans="33:46">
      <c r="AG291" s="26"/>
      <c r="AH291" s="26"/>
      <c r="AI291" s="26"/>
      <c r="AJ291" s="26"/>
      <c r="AK291" s="26"/>
      <c r="AL291" s="26"/>
      <c r="AT291" s="28"/>
    </row>
    <row r="292" spans="33:46">
      <c r="AG292" s="26"/>
      <c r="AH292" s="26"/>
      <c r="AI292" s="26"/>
      <c r="AJ292" s="26"/>
      <c r="AK292" s="26"/>
      <c r="AL292" s="26"/>
      <c r="AT292" s="28"/>
    </row>
    <row r="293" spans="33:46">
      <c r="AG293" s="26"/>
      <c r="AH293" s="26"/>
      <c r="AI293" s="26"/>
      <c r="AJ293" s="26"/>
      <c r="AK293" s="26"/>
      <c r="AL293" s="26"/>
      <c r="AT293" s="28"/>
    </row>
    <row r="294" spans="33:46">
      <c r="AG294" s="26"/>
      <c r="AH294" s="26"/>
      <c r="AI294" s="26"/>
      <c r="AJ294" s="26"/>
      <c r="AK294" s="26"/>
      <c r="AL294" s="26"/>
      <c r="AT294" s="28"/>
    </row>
    <row r="295" spans="33:46">
      <c r="AG295" s="26"/>
      <c r="AH295" s="26"/>
      <c r="AI295" s="26"/>
      <c r="AJ295" s="26"/>
      <c r="AK295" s="26"/>
      <c r="AL295" s="26"/>
      <c r="AT295" s="28"/>
    </row>
    <row r="296" spans="33:46">
      <c r="AG296" s="26"/>
      <c r="AH296" s="26"/>
      <c r="AI296" s="26"/>
      <c r="AJ296" s="26"/>
      <c r="AK296" s="26"/>
      <c r="AL296" s="26"/>
      <c r="AT296" s="28"/>
    </row>
    <row r="297" spans="33:46">
      <c r="AG297" s="26"/>
      <c r="AH297" s="26"/>
      <c r="AI297" s="26"/>
      <c r="AJ297" s="26"/>
      <c r="AK297" s="26"/>
      <c r="AL297" s="26"/>
      <c r="AT297" s="28"/>
    </row>
    <row r="298" spans="33:46">
      <c r="AG298" s="26"/>
      <c r="AH298" s="26"/>
      <c r="AI298" s="26"/>
      <c r="AJ298" s="26"/>
      <c r="AK298" s="26"/>
      <c r="AL298" s="26"/>
      <c r="AT298" s="28"/>
    </row>
    <row r="299" spans="33:46">
      <c r="AG299" s="26"/>
      <c r="AH299" s="26"/>
      <c r="AI299" s="26"/>
      <c r="AJ299" s="26"/>
      <c r="AK299" s="26"/>
      <c r="AL299" s="26"/>
      <c r="AT299" s="28"/>
    </row>
    <row r="300" spans="33:46">
      <c r="AG300" s="26"/>
      <c r="AH300" s="26"/>
      <c r="AI300" s="26"/>
      <c r="AJ300" s="26"/>
      <c r="AK300" s="26"/>
      <c r="AL300" s="26"/>
      <c r="AT300" s="28"/>
    </row>
    <row r="301" spans="33:46">
      <c r="AG301" s="26"/>
      <c r="AH301" s="26"/>
      <c r="AI301" s="26"/>
      <c r="AJ301" s="26"/>
      <c r="AK301" s="26"/>
      <c r="AL301" s="26"/>
      <c r="AT301" s="28"/>
    </row>
    <row r="302" spans="33:46">
      <c r="AG302" s="26"/>
      <c r="AH302" s="26"/>
      <c r="AI302" s="26"/>
      <c r="AJ302" s="26"/>
      <c r="AK302" s="26"/>
      <c r="AL302" s="26"/>
      <c r="AT302" s="28"/>
    </row>
    <row r="303" spans="33:46">
      <c r="AG303" s="26"/>
      <c r="AH303" s="26"/>
      <c r="AI303" s="26"/>
      <c r="AJ303" s="26"/>
      <c r="AK303" s="26"/>
      <c r="AL303" s="26"/>
      <c r="AT303" s="28"/>
    </row>
    <row r="304" spans="33:46">
      <c r="AG304" s="26"/>
      <c r="AH304" s="26"/>
      <c r="AI304" s="26"/>
      <c r="AJ304" s="26"/>
      <c r="AK304" s="26"/>
      <c r="AL304" s="26"/>
      <c r="AT304" s="28"/>
    </row>
    <row r="305" spans="33:46">
      <c r="AG305" s="26"/>
      <c r="AH305" s="26"/>
      <c r="AI305" s="26"/>
      <c r="AJ305" s="26"/>
      <c r="AK305" s="26"/>
      <c r="AL305" s="26"/>
      <c r="AT305" s="28"/>
    </row>
    <row r="306" spans="33:46">
      <c r="AG306" s="26"/>
      <c r="AH306" s="26"/>
      <c r="AI306" s="26"/>
      <c r="AJ306" s="26"/>
      <c r="AK306" s="26"/>
      <c r="AL306" s="26"/>
      <c r="AT306" s="28"/>
    </row>
    <row r="307" spans="33:46">
      <c r="AG307" s="26"/>
      <c r="AH307" s="26"/>
      <c r="AI307" s="26"/>
      <c r="AJ307" s="26"/>
      <c r="AK307" s="26"/>
      <c r="AL307" s="26"/>
      <c r="AT307" s="28"/>
    </row>
    <row r="308" spans="33:46">
      <c r="AG308" s="26"/>
      <c r="AH308" s="26"/>
      <c r="AI308" s="26"/>
      <c r="AJ308" s="26"/>
      <c r="AK308" s="26"/>
      <c r="AL308" s="26"/>
      <c r="AT308" s="28"/>
    </row>
    <row r="309" spans="33:46">
      <c r="AG309" s="26"/>
      <c r="AH309" s="26"/>
      <c r="AI309" s="26"/>
      <c r="AJ309" s="26"/>
      <c r="AK309" s="26"/>
      <c r="AL309" s="26"/>
      <c r="AT309" s="28"/>
    </row>
    <row r="310" spans="33:46">
      <c r="AG310" s="26"/>
      <c r="AH310" s="26"/>
      <c r="AI310" s="26"/>
      <c r="AJ310" s="26"/>
      <c r="AK310" s="26"/>
      <c r="AL310" s="26"/>
      <c r="AT310" s="28"/>
    </row>
    <row r="311" spans="33:46">
      <c r="AG311" s="26"/>
      <c r="AH311" s="26"/>
      <c r="AI311" s="26"/>
      <c r="AJ311" s="26"/>
      <c r="AK311" s="26"/>
      <c r="AL311" s="26"/>
      <c r="AT311" s="28"/>
    </row>
    <row r="312" spans="33:46">
      <c r="AG312" s="26"/>
      <c r="AH312" s="26"/>
      <c r="AI312" s="26"/>
      <c r="AJ312" s="26"/>
      <c r="AK312" s="26"/>
      <c r="AL312" s="26"/>
      <c r="AT312" s="28"/>
    </row>
    <row r="313" spans="33:46">
      <c r="AG313" s="26"/>
      <c r="AH313" s="26"/>
      <c r="AI313" s="26"/>
      <c r="AJ313" s="26"/>
      <c r="AK313" s="26"/>
      <c r="AL313" s="26"/>
      <c r="AT313" s="28"/>
    </row>
    <row r="314" spans="33:46">
      <c r="AG314" s="26"/>
      <c r="AH314" s="26"/>
      <c r="AI314" s="26"/>
      <c r="AJ314" s="26"/>
      <c r="AK314" s="26"/>
      <c r="AL314" s="26"/>
      <c r="AT314" s="28"/>
    </row>
    <row r="315" spans="33:46">
      <c r="AG315" s="26"/>
      <c r="AH315" s="26"/>
      <c r="AI315" s="26"/>
      <c r="AJ315" s="26"/>
      <c r="AK315" s="26"/>
      <c r="AL315" s="26"/>
      <c r="AT315" s="28"/>
    </row>
    <row r="316" spans="33:46">
      <c r="AG316" s="26"/>
      <c r="AH316" s="26"/>
      <c r="AI316" s="26"/>
      <c r="AJ316" s="26"/>
      <c r="AK316" s="26"/>
      <c r="AL316" s="26"/>
      <c r="AT316" s="28"/>
    </row>
    <row r="317" spans="33:46">
      <c r="AG317" s="26"/>
      <c r="AH317" s="26"/>
      <c r="AI317" s="26"/>
      <c r="AJ317" s="26"/>
      <c r="AK317" s="26"/>
      <c r="AL317" s="26"/>
      <c r="AT317" s="28"/>
    </row>
    <row r="318" spans="33:46">
      <c r="AG318" s="26"/>
      <c r="AH318" s="26"/>
      <c r="AI318" s="26"/>
      <c r="AJ318" s="26"/>
      <c r="AK318" s="26"/>
      <c r="AL318" s="26"/>
      <c r="AT318" s="28"/>
    </row>
    <row r="319" spans="33:46">
      <c r="AG319" s="26"/>
      <c r="AH319" s="26"/>
      <c r="AI319" s="26"/>
      <c r="AJ319" s="26"/>
      <c r="AK319" s="26"/>
      <c r="AL319" s="26"/>
      <c r="AT319" s="28"/>
    </row>
    <row r="320" spans="33:46">
      <c r="AG320" s="26"/>
      <c r="AH320" s="26"/>
      <c r="AI320" s="26"/>
      <c r="AJ320" s="26"/>
      <c r="AK320" s="26"/>
      <c r="AL320" s="26"/>
      <c r="AT320" s="28"/>
    </row>
    <row r="321" spans="33:46">
      <c r="AG321" s="26"/>
      <c r="AH321" s="26"/>
      <c r="AI321" s="26"/>
      <c r="AJ321" s="26"/>
      <c r="AK321" s="26"/>
      <c r="AL321" s="26"/>
      <c r="AT321" s="28"/>
    </row>
    <row r="322" spans="33:46">
      <c r="AG322" s="26"/>
      <c r="AH322" s="26"/>
      <c r="AI322" s="26"/>
      <c r="AJ322" s="26"/>
      <c r="AK322" s="26"/>
      <c r="AL322" s="26"/>
      <c r="AT322" s="28"/>
    </row>
    <row r="323" spans="33:46">
      <c r="AG323" s="26"/>
      <c r="AH323" s="26"/>
      <c r="AI323" s="26"/>
      <c r="AJ323" s="26"/>
      <c r="AK323" s="26"/>
      <c r="AL323" s="26"/>
      <c r="AT323" s="28"/>
    </row>
    <row r="324" spans="33:46">
      <c r="AG324" s="26"/>
      <c r="AH324" s="26"/>
      <c r="AI324" s="26"/>
      <c r="AJ324" s="26"/>
      <c r="AK324" s="26"/>
      <c r="AL324" s="26"/>
      <c r="AT324" s="28"/>
    </row>
    <row r="325" spans="33:46">
      <c r="AG325" s="26"/>
      <c r="AH325" s="26"/>
      <c r="AI325" s="26"/>
      <c r="AJ325" s="26"/>
      <c r="AK325" s="26"/>
      <c r="AL325" s="26"/>
      <c r="AT325" s="28"/>
    </row>
    <row r="326" spans="33:46">
      <c r="AG326" s="26"/>
      <c r="AH326" s="26"/>
      <c r="AI326" s="26"/>
      <c r="AJ326" s="26"/>
      <c r="AK326" s="26"/>
      <c r="AL326" s="26"/>
      <c r="AT326" s="28"/>
    </row>
    <row r="327" spans="33:46">
      <c r="AG327" s="26"/>
      <c r="AH327" s="26"/>
      <c r="AI327" s="26"/>
      <c r="AJ327" s="26"/>
      <c r="AK327" s="26"/>
      <c r="AL327" s="26"/>
      <c r="AT327" s="28"/>
    </row>
    <row r="328" spans="33:46">
      <c r="AG328" s="26"/>
      <c r="AH328" s="26"/>
      <c r="AI328" s="26"/>
      <c r="AJ328" s="26"/>
      <c r="AK328" s="26"/>
      <c r="AL328" s="26"/>
      <c r="AT328" s="28"/>
    </row>
    <row r="329" spans="33:46">
      <c r="AG329" s="26"/>
      <c r="AH329" s="26"/>
      <c r="AI329" s="26"/>
      <c r="AJ329" s="26"/>
      <c r="AK329" s="26"/>
      <c r="AL329" s="26"/>
      <c r="AT329" s="28"/>
    </row>
    <row r="330" spans="33:46">
      <c r="AG330" s="26"/>
      <c r="AH330" s="26"/>
      <c r="AI330" s="26"/>
      <c r="AJ330" s="26"/>
      <c r="AK330" s="26"/>
      <c r="AL330" s="26"/>
      <c r="AT330" s="28"/>
    </row>
    <row r="331" spans="33:46">
      <c r="AG331" s="26"/>
      <c r="AH331" s="26"/>
      <c r="AI331" s="26"/>
      <c r="AJ331" s="26"/>
      <c r="AK331" s="26"/>
      <c r="AL331" s="26"/>
      <c r="AT331" s="28"/>
    </row>
    <row r="332" spans="33:46">
      <c r="AG332" s="26"/>
      <c r="AH332" s="26"/>
      <c r="AI332" s="26"/>
      <c r="AJ332" s="26"/>
      <c r="AK332" s="26"/>
      <c r="AL332" s="26"/>
      <c r="AT332" s="28"/>
    </row>
    <row r="333" spans="33:46">
      <c r="AG333" s="26"/>
      <c r="AH333" s="26"/>
      <c r="AI333" s="26"/>
      <c r="AJ333" s="26"/>
      <c r="AK333" s="26"/>
      <c r="AL333" s="26"/>
      <c r="AT333" s="28"/>
    </row>
    <row r="334" spans="33:46">
      <c r="AG334" s="26"/>
      <c r="AH334" s="26"/>
      <c r="AI334" s="26"/>
      <c r="AJ334" s="26"/>
      <c r="AK334" s="26"/>
      <c r="AL334" s="26"/>
      <c r="AT334" s="28"/>
    </row>
    <row r="335" spans="33:46">
      <c r="AG335" s="26"/>
      <c r="AH335" s="26"/>
      <c r="AI335" s="26"/>
      <c r="AJ335" s="26"/>
      <c r="AK335" s="26"/>
      <c r="AL335" s="26"/>
      <c r="AT335" s="28"/>
    </row>
    <row r="336" spans="33:46">
      <c r="AG336" s="26"/>
      <c r="AH336" s="26"/>
      <c r="AI336" s="26"/>
      <c r="AJ336" s="26"/>
      <c r="AK336" s="26"/>
      <c r="AL336" s="26"/>
      <c r="AT336" s="28"/>
    </row>
    <row r="337" spans="33:46">
      <c r="AG337" s="26"/>
      <c r="AH337" s="26"/>
      <c r="AI337" s="26"/>
      <c r="AJ337" s="26"/>
      <c r="AK337" s="26"/>
      <c r="AL337" s="26"/>
      <c r="AT337" s="28"/>
    </row>
    <row r="338" spans="33:46">
      <c r="AG338" s="26"/>
      <c r="AH338" s="26"/>
      <c r="AI338" s="26"/>
      <c r="AJ338" s="26"/>
      <c r="AK338" s="26"/>
      <c r="AL338" s="26"/>
      <c r="AT338" s="28"/>
    </row>
    <row r="339" spans="33:46">
      <c r="AG339" s="26"/>
      <c r="AH339" s="26"/>
      <c r="AI339" s="26"/>
      <c r="AJ339" s="26"/>
      <c r="AK339" s="26"/>
      <c r="AL339" s="26"/>
      <c r="AT339" s="28"/>
    </row>
    <row r="340" spans="33:46">
      <c r="AG340" s="26"/>
      <c r="AH340" s="26"/>
      <c r="AI340" s="26"/>
      <c r="AJ340" s="26"/>
      <c r="AK340" s="26"/>
      <c r="AL340" s="26"/>
      <c r="AT340" s="28"/>
    </row>
    <row r="341" spans="33:46">
      <c r="AG341" s="26"/>
      <c r="AH341" s="26"/>
      <c r="AI341" s="26"/>
      <c r="AJ341" s="26"/>
      <c r="AK341" s="26"/>
      <c r="AL341" s="26"/>
      <c r="AT341" s="28"/>
    </row>
    <row r="342" spans="33:46">
      <c r="AG342" s="26"/>
      <c r="AH342" s="26"/>
      <c r="AI342" s="26"/>
      <c r="AJ342" s="26"/>
      <c r="AK342" s="26"/>
      <c r="AL342" s="26"/>
      <c r="AT342" s="28"/>
    </row>
    <row r="343" spans="33:46">
      <c r="AG343" s="26"/>
      <c r="AH343" s="26"/>
      <c r="AI343" s="26"/>
      <c r="AJ343" s="26"/>
      <c r="AK343" s="26"/>
      <c r="AL343" s="26"/>
      <c r="AT343" s="28"/>
    </row>
    <row r="344" spans="33:46">
      <c r="AG344" s="26"/>
      <c r="AH344" s="26"/>
      <c r="AI344" s="26"/>
      <c r="AJ344" s="26"/>
      <c r="AK344" s="26"/>
      <c r="AL344" s="26"/>
      <c r="AT344" s="28"/>
    </row>
    <row r="345" spans="33:46">
      <c r="AG345" s="26"/>
      <c r="AH345" s="26"/>
      <c r="AI345" s="26"/>
      <c r="AJ345" s="26"/>
      <c r="AK345" s="26"/>
      <c r="AL345" s="26"/>
      <c r="AT345" s="28"/>
    </row>
    <row r="346" spans="33:46">
      <c r="AG346" s="26"/>
      <c r="AH346" s="26"/>
      <c r="AI346" s="26"/>
      <c r="AJ346" s="26"/>
      <c r="AK346" s="26"/>
      <c r="AL346" s="26"/>
      <c r="AT346" s="28"/>
    </row>
    <row r="347" spans="33:46">
      <c r="AG347" s="26"/>
      <c r="AH347" s="26"/>
      <c r="AI347" s="26"/>
      <c r="AJ347" s="26"/>
      <c r="AK347" s="26"/>
      <c r="AL347" s="26"/>
      <c r="AT347" s="28"/>
    </row>
    <row r="348" spans="33:46">
      <c r="AG348" s="26"/>
      <c r="AH348" s="26"/>
      <c r="AI348" s="26"/>
      <c r="AJ348" s="26"/>
      <c r="AK348" s="26"/>
      <c r="AL348" s="26"/>
      <c r="AT348" s="28"/>
    </row>
    <row r="349" spans="33:46">
      <c r="AG349" s="26"/>
      <c r="AH349" s="26"/>
      <c r="AI349" s="26"/>
      <c r="AJ349" s="26"/>
      <c r="AK349" s="26"/>
      <c r="AL349" s="26"/>
      <c r="AT349" s="28"/>
    </row>
    <row r="350" spans="33:46">
      <c r="AG350" s="26"/>
      <c r="AH350" s="26"/>
      <c r="AI350" s="26"/>
      <c r="AJ350" s="26"/>
      <c r="AK350" s="26"/>
      <c r="AL350" s="26"/>
      <c r="AT350" s="28"/>
    </row>
    <row r="351" spans="33:46">
      <c r="AG351" s="26"/>
      <c r="AH351" s="26"/>
      <c r="AI351" s="26"/>
      <c r="AJ351" s="26"/>
      <c r="AK351" s="26"/>
      <c r="AL351" s="26"/>
      <c r="AT351" s="28"/>
    </row>
    <row r="352" spans="33:46">
      <c r="AG352" s="26"/>
      <c r="AH352" s="26"/>
      <c r="AI352" s="26"/>
      <c r="AJ352" s="26"/>
      <c r="AK352" s="26"/>
      <c r="AL352" s="26"/>
      <c r="AT352" s="28"/>
    </row>
    <row r="353" spans="33:46">
      <c r="AG353" s="26"/>
      <c r="AH353" s="26"/>
      <c r="AI353" s="26"/>
      <c r="AJ353" s="26"/>
      <c r="AK353" s="26"/>
      <c r="AL353" s="26"/>
      <c r="AT353" s="28"/>
    </row>
    <row r="354" spans="33:46">
      <c r="AG354" s="26"/>
      <c r="AH354" s="26"/>
      <c r="AI354" s="26"/>
      <c r="AJ354" s="26"/>
      <c r="AK354" s="26"/>
      <c r="AL354" s="26"/>
      <c r="AT354" s="28"/>
    </row>
    <row r="355" spans="33:46">
      <c r="AG355" s="26"/>
      <c r="AH355" s="26"/>
      <c r="AI355" s="26"/>
      <c r="AJ355" s="26"/>
      <c r="AK355" s="26"/>
      <c r="AL355" s="26"/>
      <c r="AT355" s="28"/>
    </row>
    <row r="356" spans="33:46">
      <c r="AG356" s="26"/>
      <c r="AH356" s="26"/>
      <c r="AI356" s="26"/>
      <c r="AJ356" s="26"/>
      <c r="AK356" s="26"/>
      <c r="AL356" s="26"/>
      <c r="AT356" s="28"/>
    </row>
    <row r="357" spans="33:46">
      <c r="AG357" s="26"/>
      <c r="AH357" s="26"/>
      <c r="AI357" s="26"/>
      <c r="AJ357" s="26"/>
      <c r="AK357" s="26"/>
      <c r="AL357" s="26"/>
      <c r="AT357" s="28"/>
    </row>
    <row r="358" spans="33:46">
      <c r="AG358" s="26"/>
      <c r="AH358" s="26"/>
      <c r="AI358" s="26"/>
      <c r="AJ358" s="26"/>
      <c r="AK358" s="26"/>
      <c r="AL358" s="26"/>
      <c r="AT358" s="28"/>
    </row>
    <row r="359" spans="33:46">
      <c r="AG359" s="26"/>
      <c r="AH359" s="26"/>
      <c r="AI359" s="26"/>
      <c r="AJ359" s="26"/>
      <c r="AK359" s="26"/>
      <c r="AL359" s="26"/>
      <c r="AT359" s="28"/>
    </row>
    <row r="360" spans="33:46">
      <c r="AG360" s="26"/>
      <c r="AH360" s="26"/>
      <c r="AI360" s="26"/>
      <c r="AJ360" s="26"/>
      <c r="AK360" s="26"/>
      <c r="AL360" s="26"/>
      <c r="AT360" s="28"/>
    </row>
    <row r="361" spans="33:46">
      <c r="AG361" s="26"/>
      <c r="AH361" s="26"/>
      <c r="AI361" s="26"/>
      <c r="AJ361" s="26"/>
      <c r="AK361" s="26"/>
      <c r="AL361" s="26"/>
      <c r="AT361" s="28"/>
    </row>
    <row r="362" spans="33:46">
      <c r="AG362" s="26"/>
      <c r="AH362" s="26"/>
      <c r="AI362" s="26"/>
      <c r="AJ362" s="26"/>
      <c r="AK362" s="26"/>
      <c r="AL362" s="26"/>
      <c r="AT362" s="28"/>
    </row>
    <row r="363" spans="33:46">
      <c r="AG363" s="26"/>
      <c r="AH363" s="26"/>
      <c r="AI363" s="26"/>
      <c r="AJ363" s="26"/>
      <c r="AK363" s="26"/>
      <c r="AL363" s="26"/>
      <c r="AT363" s="28"/>
    </row>
    <row r="364" spans="33:46">
      <c r="AG364" s="26"/>
      <c r="AH364" s="26"/>
      <c r="AI364" s="26"/>
      <c r="AJ364" s="26"/>
      <c r="AK364" s="26"/>
      <c r="AL364" s="26"/>
      <c r="AT364" s="28"/>
    </row>
    <row r="365" spans="33:46">
      <c r="AG365" s="26"/>
      <c r="AH365" s="26"/>
      <c r="AI365" s="26"/>
      <c r="AJ365" s="26"/>
      <c r="AK365" s="26"/>
      <c r="AL365" s="26"/>
      <c r="AT365" s="28"/>
    </row>
    <row r="366" spans="33:46">
      <c r="AG366" s="26"/>
      <c r="AH366" s="26"/>
      <c r="AI366" s="26"/>
      <c r="AJ366" s="26"/>
      <c r="AK366" s="26"/>
      <c r="AL366" s="26"/>
      <c r="AT366" s="28"/>
    </row>
    <row r="367" spans="33:46">
      <c r="AG367" s="26"/>
      <c r="AH367" s="26"/>
      <c r="AI367" s="26"/>
      <c r="AJ367" s="26"/>
      <c r="AK367" s="26"/>
      <c r="AL367" s="26"/>
      <c r="AT367" s="28"/>
    </row>
    <row r="368" spans="33:46">
      <c r="AG368" s="26"/>
      <c r="AH368" s="26"/>
      <c r="AI368" s="26"/>
      <c r="AJ368" s="26"/>
      <c r="AK368" s="26"/>
      <c r="AL368" s="26"/>
      <c r="AT368" s="28"/>
    </row>
    <row r="369" spans="33:46">
      <c r="AG369" s="26"/>
      <c r="AH369" s="26"/>
      <c r="AI369" s="26"/>
      <c r="AJ369" s="26"/>
      <c r="AK369" s="26"/>
      <c r="AL369" s="26"/>
      <c r="AT369" s="28"/>
    </row>
    <row r="370" spans="33:46">
      <c r="AG370" s="26"/>
      <c r="AH370" s="26"/>
      <c r="AI370" s="26"/>
      <c r="AJ370" s="26"/>
      <c r="AK370" s="26"/>
      <c r="AL370" s="26"/>
      <c r="AT370" s="28"/>
    </row>
    <row r="371" spans="33:46">
      <c r="AG371" s="26"/>
      <c r="AH371" s="26"/>
      <c r="AI371" s="26"/>
      <c r="AJ371" s="26"/>
      <c r="AK371" s="26"/>
      <c r="AL371" s="26"/>
      <c r="AT371" s="28"/>
    </row>
    <row r="372" spans="33:46">
      <c r="AG372" s="26"/>
      <c r="AH372" s="26"/>
      <c r="AI372" s="26"/>
      <c r="AJ372" s="26"/>
      <c r="AK372" s="26"/>
      <c r="AL372" s="26"/>
      <c r="AT372" s="28"/>
    </row>
    <row r="373" spans="33:46">
      <c r="AG373" s="26"/>
      <c r="AH373" s="26"/>
      <c r="AI373" s="26"/>
      <c r="AJ373" s="26"/>
      <c r="AK373" s="26"/>
      <c r="AL373" s="26"/>
      <c r="AT373" s="28"/>
    </row>
    <row r="374" spans="33:46">
      <c r="AG374" s="26"/>
      <c r="AH374" s="26"/>
      <c r="AI374" s="26"/>
      <c r="AJ374" s="26"/>
      <c r="AK374" s="26"/>
      <c r="AL374" s="26"/>
      <c r="AT374" s="28"/>
    </row>
    <row r="375" spans="33:46">
      <c r="AG375" s="26"/>
      <c r="AH375" s="26"/>
      <c r="AI375" s="26"/>
      <c r="AJ375" s="26"/>
      <c r="AK375" s="26"/>
      <c r="AL375" s="26"/>
      <c r="AT375" s="28"/>
    </row>
    <row r="376" spans="33:46">
      <c r="AG376" s="26"/>
      <c r="AH376" s="26"/>
      <c r="AI376" s="26"/>
      <c r="AJ376" s="26"/>
      <c r="AK376" s="26"/>
      <c r="AL376" s="26"/>
      <c r="AT376" s="28"/>
    </row>
    <row r="377" spans="33:46">
      <c r="AG377" s="26"/>
      <c r="AH377" s="26"/>
      <c r="AI377" s="26"/>
      <c r="AJ377" s="26"/>
      <c r="AK377" s="26"/>
      <c r="AL377" s="26"/>
      <c r="AT377" s="28"/>
    </row>
    <row r="378" spans="33:46">
      <c r="AG378" s="26"/>
      <c r="AH378" s="26"/>
      <c r="AI378" s="26"/>
      <c r="AJ378" s="26"/>
      <c r="AK378" s="26"/>
      <c r="AL378" s="26"/>
      <c r="AT378" s="28"/>
    </row>
    <row r="379" spans="33:46">
      <c r="AG379" s="26"/>
      <c r="AH379" s="26"/>
      <c r="AI379" s="26"/>
      <c r="AJ379" s="26"/>
      <c r="AK379" s="26"/>
      <c r="AL379" s="26"/>
      <c r="AT379" s="28"/>
    </row>
    <row r="380" spans="33:46">
      <c r="AG380" s="26"/>
      <c r="AH380" s="26"/>
      <c r="AI380" s="26"/>
      <c r="AJ380" s="26"/>
      <c r="AK380" s="26"/>
      <c r="AL380" s="26"/>
      <c r="AT380" s="28"/>
    </row>
    <row r="381" spans="33:46">
      <c r="AG381" s="26"/>
      <c r="AH381" s="26"/>
      <c r="AI381" s="26"/>
      <c r="AJ381" s="26"/>
      <c r="AK381" s="26"/>
      <c r="AL381" s="26"/>
      <c r="AT381" s="28"/>
    </row>
    <row r="382" spans="33:46">
      <c r="AG382" s="26"/>
      <c r="AH382" s="26"/>
      <c r="AI382" s="26"/>
      <c r="AJ382" s="26"/>
      <c r="AK382" s="26"/>
      <c r="AL382" s="26"/>
      <c r="AT382" s="28"/>
    </row>
    <row r="383" spans="33:46">
      <c r="AG383" s="26"/>
      <c r="AH383" s="26"/>
      <c r="AI383" s="26"/>
      <c r="AJ383" s="26"/>
      <c r="AK383" s="26"/>
      <c r="AL383" s="26"/>
      <c r="AT383" s="28"/>
    </row>
    <row r="384" spans="33:46">
      <c r="AG384" s="26"/>
      <c r="AH384" s="26"/>
      <c r="AI384" s="26"/>
      <c r="AJ384" s="26"/>
      <c r="AK384" s="26"/>
      <c r="AL384" s="26"/>
      <c r="AT384" s="28"/>
    </row>
    <row r="385" spans="33:46">
      <c r="AG385" s="26"/>
      <c r="AH385" s="26"/>
      <c r="AI385" s="26"/>
      <c r="AJ385" s="26"/>
      <c r="AK385" s="26"/>
      <c r="AL385" s="26"/>
      <c r="AT385" s="28"/>
    </row>
    <row r="386" spans="33:46">
      <c r="AG386" s="26"/>
      <c r="AH386" s="26"/>
      <c r="AI386" s="26"/>
      <c r="AJ386" s="26"/>
      <c r="AK386" s="26"/>
      <c r="AL386" s="26"/>
      <c r="AT386" s="28"/>
    </row>
    <row r="387" spans="33:46">
      <c r="AG387" s="26"/>
      <c r="AH387" s="26"/>
      <c r="AI387" s="26"/>
      <c r="AJ387" s="26"/>
      <c r="AK387" s="26"/>
      <c r="AL387" s="26"/>
      <c r="AT387" s="28"/>
    </row>
    <row r="388" spans="33:46">
      <c r="AG388" s="26"/>
      <c r="AH388" s="26"/>
      <c r="AI388" s="26"/>
      <c r="AJ388" s="26"/>
      <c r="AK388" s="26"/>
      <c r="AL388" s="26"/>
      <c r="AT388" s="28"/>
    </row>
    <row r="389" spans="33:46">
      <c r="AG389" s="26"/>
      <c r="AH389" s="26"/>
      <c r="AI389" s="26"/>
      <c r="AJ389" s="26"/>
      <c r="AK389" s="26"/>
      <c r="AL389" s="26"/>
      <c r="AT389" s="28"/>
    </row>
    <row r="390" spans="33:46">
      <c r="AG390" s="26"/>
      <c r="AH390" s="26"/>
      <c r="AI390" s="26"/>
      <c r="AJ390" s="26"/>
      <c r="AK390" s="26"/>
      <c r="AL390" s="26"/>
      <c r="AT390" s="28"/>
    </row>
    <row r="391" spans="33:46">
      <c r="AG391" s="26"/>
      <c r="AH391" s="26"/>
      <c r="AI391" s="26"/>
      <c r="AJ391" s="26"/>
      <c r="AK391" s="26"/>
      <c r="AL391" s="26"/>
      <c r="AT391" s="28"/>
    </row>
    <row r="392" spans="33:46">
      <c r="AG392" s="26"/>
      <c r="AH392" s="26"/>
      <c r="AI392" s="26"/>
      <c r="AJ392" s="26"/>
      <c r="AK392" s="26"/>
      <c r="AL392" s="26"/>
      <c r="AT392" s="28"/>
    </row>
    <row r="393" spans="33:46">
      <c r="AG393" s="26"/>
      <c r="AH393" s="26"/>
      <c r="AI393" s="26"/>
      <c r="AJ393" s="26"/>
      <c r="AK393" s="26"/>
      <c r="AL393" s="26"/>
      <c r="AT393" s="28"/>
    </row>
    <row r="394" spans="33:46">
      <c r="AG394" s="26"/>
      <c r="AH394" s="26"/>
      <c r="AI394" s="26"/>
      <c r="AJ394" s="26"/>
      <c r="AK394" s="26"/>
      <c r="AL394" s="26"/>
      <c r="AT394" s="28"/>
    </row>
    <row r="395" spans="33:46">
      <c r="AG395" s="26"/>
      <c r="AH395" s="26"/>
      <c r="AI395" s="26"/>
      <c r="AJ395" s="26"/>
      <c r="AK395" s="26"/>
      <c r="AL395" s="26"/>
      <c r="AT395" s="28"/>
    </row>
    <row r="396" spans="33:46">
      <c r="AG396" s="26"/>
      <c r="AH396" s="26"/>
      <c r="AI396" s="26"/>
      <c r="AJ396" s="26"/>
      <c r="AK396" s="26"/>
      <c r="AL396" s="26"/>
      <c r="AT396" s="28"/>
    </row>
    <row r="397" spans="33:46">
      <c r="AG397" s="26"/>
      <c r="AH397" s="26"/>
      <c r="AI397" s="26"/>
      <c r="AJ397" s="26"/>
      <c r="AK397" s="26"/>
      <c r="AL397" s="26"/>
      <c r="AT397" s="28"/>
    </row>
    <row r="398" spans="33:46">
      <c r="AG398" s="26"/>
      <c r="AH398" s="26"/>
      <c r="AI398" s="26"/>
      <c r="AJ398" s="26"/>
      <c r="AK398" s="26"/>
      <c r="AL398" s="26"/>
      <c r="AT398" s="28"/>
    </row>
    <row r="399" spans="33:46">
      <c r="AG399" s="26"/>
      <c r="AH399" s="26"/>
      <c r="AI399" s="26"/>
      <c r="AJ399" s="26"/>
      <c r="AK399" s="26"/>
      <c r="AL399" s="26"/>
      <c r="AT399" s="28"/>
    </row>
    <row r="400" spans="33:46">
      <c r="AG400" s="26"/>
      <c r="AH400" s="26"/>
      <c r="AI400" s="26"/>
      <c r="AJ400" s="26"/>
      <c r="AK400" s="26"/>
      <c r="AL400" s="26"/>
      <c r="AT400" s="28"/>
    </row>
    <row r="401" spans="33:46">
      <c r="AG401" s="26"/>
      <c r="AH401" s="26"/>
      <c r="AI401" s="26"/>
      <c r="AJ401" s="26"/>
      <c r="AK401" s="26"/>
      <c r="AL401" s="26"/>
      <c r="AT401" s="28"/>
    </row>
    <row r="402" spans="33:46">
      <c r="AG402" s="26"/>
      <c r="AH402" s="26"/>
      <c r="AI402" s="26"/>
      <c r="AJ402" s="26"/>
      <c r="AK402" s="26"/>
      <c r="AL402" s="26"/>
      <c r="AT402" s="28"/>
    </row>
    <row r="403" spans="33:46">
      <c r="AG403" s="26"/>
      <c r="AH403" s="26"/>
      <c r="AI403" s="26"/>
      <c r="AJ403" s="26"/>
      <c r="AK403" s="26"/>
      <c r="AL403" s="26"/>
      <c r="AT403" s="28"/>
    </row>
    <row r="404" spans="33:46">
      <c r="AG404" s="26"/>
      <c r="AH404" s="26"/>
      <c r="AI404" s="26"/>
      <c r="AJ404" s="26"/>
      <c r="AK404" s="26"/>
      <c r="AL404" s="26"/>
      <c r="AT404" s="28"/>
    </row>
    <row r="405" spans="33:46">
      <c r="AG405" s="26"/>
      <c r="AH405" s="26"/>
      <c r="AI405" s="26"/>
      <c r="AJ405" s="26"/>
      <c r="AK405" s="26"/>
      <c r="AL405" s="26"/>
      <c r="AT405" s="28"/>
    </row>
    <row r="406" spans="33:46">
      <c r="AG406" s="26"/>
      <c r="AH406" s="26"/>
      <c r="AI406" s="26"/>
      <c r="AJ406" s="26"/>
      <c r="AK406" s="26"/>
      <c r="AL406" s="26"/>
      <c r="AT406" s="28"/>
    </row>
    <row r="407" spans="33:46">
      <c r="AG407" s="26"/>
      <c r="AH407" s="26"/>
      <c r="AI407" s="26"/>
      <c r="AJ407" s="26"/>
      <c r="AK407" s="26"/>
      <c r="AL407" s="26"/>
      <c r="AT407" s="28"/>
    </row>
    <row r="408" spans="33:46">
      <c r="AG408" s="26"/>
      <c r="AH408" s="26"/>
      <c r="AI408" s="26"/>
      <c r="AJ408" s="26"/>
      <c r="AK408" s="26"/>
      <c r="AL408" s="26"/>
      <c r="AT408" s="28"/>
    </row>
    <row r="409" spans="33:46">
      <c r="AG409" s="26"/>
      <c r="AH409" s="26"/>
      <c r="AI409" s="26"/>
      <c r="AJ409" s="26"/>
      <c r="AK409" s="26"/>
      <c r="AL409" s="26"/>
      <c r="AT409" s="28"/>
    </row>
    <row r="410" spans="33:46">
      <c r="AG410" s="26"/>
      <c r="AH410" s="26"/>
      <c r="AI410" s="26"/>
      <c r="AJ410" s="26"/>
      <c r="AK410" s="26"/>
      <c r="AL410" s="26"/>
      <c r="AT410" s="28"/>
    </row>
    <row r="411" spans="33:46">
      <c r="AG411" s="26"/>
      <c r="AH411" s="26"/>
      <c r="AI411" s="26"/>
      <c r="AJ411" s="26"/>
      <c r="AK411" s="26"/>
      <c r="AL411" s="26"/>
      <c r="AT411" s="28"/>
    </row>
    <row r="412" spans="33:46">
      <c r="AG412" s="26"/>
      <c r="AH412" s="26"/>
      <c r="AI412" s="26"/>
      <c r="AJ412" s="26"/>
      <c r="AK412" s="26"/>
      <c r="AL412" s="26"/>
      <c r="AT412" s="28"/>
    </row>
    <row r="413" spans="33:46">
      <c r="AG413" s="26"/>
      <c r="AH413" s="26"/>
      <c r="AI413" s="26"/>
      <c r="AJ413" s="26"/>
      <c r="AK413" s="26"/>
      <c r="AL413" s="26"/>
      <c r="AT413" s="28"/>
    </row>
    <row r="414" spans="33:46">
      <c r="AG414" s="26"/>
      <c r="AH414" s="26"/>
      <c r="AI414" s="26"/>
      <c r="AJ414" s="26"/>
      <c r="AK414" s="26"/>
      <c r="AL414" s="26"/>
      <c r="AT414" s="28"/>
    </row>
    <row r="415" spans="33:46">
      <c r="AG415" s="26"/>
      <c r="AH415" s="26"/>
      <c r="AI415" s="26"/>
      <c r="AJ415" s="26"/>
      <c r="AK415" s="26"/>
      <c r="AL415" s="26"/>
      <c r="AT415" s="28"/>
    </row>
    <row r="416" spans="33:46">
      <c r="AG416" s="26"/>
      <c r="AH416" s="26"/>
      <c r="AI416" s="26"/>
      <c r="AJ416" s="26"/>
      <c r="AK416" s="26"/>
      <c r="AL416" s="26"/>
      <c r="AT416" s="28"/>
    </row>
    <row r="417" spans="33:46">
      <c r="AG417" s="26"/>
      <c r="AH417" s="26"/>
      <c r="AI417" s="26"/>
      <c r="AJ417" s="26"/>
      <c r="AK417" s="26"/>
      <c r="AL417" s="26"/>
      <c r="AT417" s="28"/>
    </row>
    <row r="418" spans="33:46">
      <c r="AG418" s="26"/>
      <c r="AH418" s="26"/>
      <c r="AI418" s="26"/>
      <c r="AJ418" s="26"/>
      <c r="AK418" s="26"/>
      <c r="AL418" s="26"/>
      <c r="AT418" s="28"/>
    </row>
    <row r="419" spans="33:46">
      <c r="AG419" s="26"/>
      <c r="AH419" s="26"/>
      <c r="AI419" s="26"/>
      <c r="AJ419" s="26"/>
      <c r="AK419" s="26"/>
      <c r="AL419" s="26"/>
      <c r="AT419" s="28"/>
    </row>
    <row r="420" spans="33:46">
      <c r="AG420" s="26"/>
      <c r="AH420" s="26"/>
      <c r="AI420" s="26"/>
      <c r="AJ420" s="26"/>
      <c r="AK420" s="26"/>
      <c r="AL420" s="26"/>
      <c r="AT420" s="28"/>
    </row>
    <row r="421" spans="33:46">
      <c r="AG421" s="26"/>
      <c r="AH421" s="26"/>
      <c r="AI421" s="26"/>
      <c r="AJ421" s="26"/>
      <c r="AK421" s="26"/>
      <c r="AL421" s="26"/>
      <c r="AT421" s="28"/>
    </row>
    <row r="422" spans="33:46">
      <c r="AG422" s="26"/>
      <c r="AH422" s="26"/>
      <c r="AI422" s="26"/>
      <c r="AJ422" s="26"/>
      <c r="AK422" s="26"/>
      <c r="AL422" s="26"/>
      <c r="AT422" s="28"/>
    </row>
    <row r="423" spans="33:46">
      <c r="AG423" s="26"/>
      <c r="AH423" s="26"/>
      <c r="AI423" s="26"/>
      <c r="AJ423" s="26"/>
      <c r="AK423" s="26"/>
      <c r="AL423" s="26"/>
      <c r="AT423" s="28"/>
    </row>
    <row r="424" spans="33:46">
      <c r="AG424" s="26"/>
      <c r="AH424" s="26"/>
      <c r="AI424" s="26"/>
      <c r="AJ424" s="26"/>
      <c r="AK424" s="26"/>
      <c r="AL424" s="26"/>
      <c r="AT424" s="28"/>
    </row>
    <row r="425" spans="33:46">
      <c r="AG425" s="26"/>
      <c r="AH425" s="26"/>
      <c r="AI425" s="26"/>
      <c r="AJ425" s="26"/>
      <c r="AK425" s="26"/>
      <c r="AL425" s="26"/>
      <c r="AT425" s="28"/>
    </row>
    <row r="426" spans="33:46">
      <c r="AG426" s="26"/>
      <c r="AH426" s="26"/>
      <c r="AI426" s="26"/>
      <c r="AJ426" s="26"/>
      <c r="AK426" s="26"/>
      <c r="AL426" s="26"/>
      <c r="AT426" s="28"/>
    </row>
    <row r="427" spans="33:46">
      <c r="AG427" s="26"/>
      <c r="AH427" s="26"/>
      <c r="AI427" s="26"/>
      <c r="AJ427" s="26"/>
      <c r="AK427" s="26"/>
      <c r="AL427" s="26"/>
      <c r="AT427" s="28"/>
    </row>
    <row r="428" spans="33:46">
      <c r="AG428" s="26"/>
      <c r="AH428" s="26"/>
      <c r="AI428" s="26"/>
      <c r="AJ428" s="26"/>
      <c r="AK428" s="26"/>
      <c r="AL428" s="26"/>
      <c r="AT428" s="28"/>
    </row>
    <row r="429" spans="33:46">
      <c r="AG429" s="26"/>
      <c r="AH429" s="26"/>
      <c r="AI429" s="26"/>
      <c r="AJ429" s="26"/>
      <c r="AK429" s="26"/>
      <c r="AL429" s="26"/>
      <c r="AT429" s="28"/>
    </row>
    <row r="430" spans="33:46">
      <c r="AG430" s="26"/>
      <c r="AH430" s="26"/>
      <c r="AI430" s="26"/>
      <c r="AJ430" s="26"/>
      <c r="AK430" s="26"/>
      <c r="AL430" s="26"/>
      <c r="AT430" s="28"/>
    </row>
    <row r="431" spans="33:46">
      <c r="AG431" s="26"/>
      <c r="AH431" s="26"/>
      <c r="AI431" s="26"/>
      <c r="AJ431" s="26"/>
      <c r="AK431" s="26"/>
      <c r="AL431" s="26"/>
      <c r="AT431" s="28"/>
    </row>
    <row r="432" spans="33:46">
      <c r="AG432" s="26"/>
      <c r="AH432" s="26"/>
      <c r="AI432" s="26"/>
      <c r="AJ432" s="26"/>
      <c r="AK432" s="26"/>
      <c r="AL432" s="26"/>
      <c r="AT432" s="28"/>
    </row>
    <row r="433" spans="33:46">
      <c r="AG433" s="26"/>
      <c r="AH433" s="26"/>
      <c r="AI433" s="26"/>
      <c r="AJ433" s="26"/>
      <c r="AK433" s="26"/>
      <c r="AL433" s="26"/>
      <c r="AT433" s="28"/>
    </row>
    <row r="434" spans="33:46">
      <c r="AG434" s="26"/>
      <c r="AH434" s="26"/>
      <c r="AI434" s="26"/>
      <c r="AJ434" s="26"/>
      <c r="AK434" s="26"/>
      <c r="AL434" s="26"/>
      <c r="AT434" s="28"/>
    </row>
    <row r="435" spans="33:46">
      <c r="AG435" s="26"/>
      <c r="AH435" s="26"/>
      <c r="AI435" s="26"/>
      <c r="AJ435" s="26"/>
      <c r="AK435" s="26"/>
      <c r="AL435" s="26"/>
      <c r="AT435" s="28"/>
    </row>
    <row r="436" spans="33:46">
      <c r="AG436" s="26"/>
      <c r="AH436" s="26"/>
      <c r="AI436" s="26"/>
      <c r="AJ436" s="26"/>
      <c r="AK436" s="26"/>
      <c r="AL436" s="26"/>
      <c r="AT436" s="28"/>
    </row>
    <row r="437" spans="33:46">
      <c r="AG437" s="26"/>
      <c r="AH437" s="26"/>
      <c r="AI437" s="26"/>
      <c r="AJ437" s="26"/>
      <c r="AK437" s="26"/>
      <c r="AL437" s="26"/>
      <c r="AT437" s="28"/>
    </row>
    <row r="438" spans="33:46">
      <c r="AG438" s="26"/>
      <c r="AH438" s="26"/>
      <c r="AI438" s="26"/>
      <c r="AJ438" s="26"/>
      <c r="AK438" s="26"/>
      <c r="AL438" s="26"/>
      <c r="AT438" s="28"/>
    </row>
    <row r="439" spans="33:46">
      <c r="AG439" s="26"/>
      <c r="AH439" s="26"/>
      <c r="AI439" s="26"/>
      <c r="AJ439" s="26"/>
      <c r="AK439" s="26"/>
      <c r="AL439" s="26"/>
      <c r="AT439" s="28"/>
    </row>
    <row r="440" spans="33:46">
      <c r="AG440" s="26"/>
      <c r="AH440" s="26"/>
      <c r="AI440" s="26"/>
      <c r="AJ440" s="26"/>
      <c r="AK440" s="26"/>
      <c r="AL440" s="26"/>
      <c r="AT440" s="28"/>
    </row>
    <row r="441" spans="33:46">
      <c r="AG441" s="26"/>
      <c r="AH441" s="26"/>
      <c r="AI441" s="26"/>
      <c r="AJ441" s="26"/>
      <c r="AK441" s="26"/>
      <c r="AL441" s="26"/>
      <c r="AT441" s="28"/>
    </row>
    <row r="442" spans="33:46">
      <c r="AG442" s="26"/>
      <c r="AH442" s="26"/>
      <c r="AI442" s="26"/>
      <c r="AJ442" s="26"/>
      <c r="AK442" s="26"/>
      <c r="AL442" s="26"/>
      <c r="AT442" s="28"/>
    </row>
    <row r="443" spans="33:46">
      <c r="AG443" s="26"/>
      <c r="AH443" s="26"/>
      <c r="AI443" s="26"/>
      <c r="AJ443" s="26"/>
      <c r="AK443" s="26"/>
      <c r="AL443" s="26"/>
      <c r="AT443" s="28"/>
    </row>
    <row r="444" spans="33:46">
      <c r="AG444" s="26"/>
      <c r="AH444" s="26"/>
      <c r="AI444" s="26"/>
      <c r="AJ444" s="26"/>
      <c r="AK444" s="26"/>
      <c r="AL444" s="26"/>
      <c r="AT444" s="28"/>
    </row>
    <row r="445" spans="33:46">
      <c r="AG445" s="26"/>
      <c r="AH445" s="26"/>
      <c r="AI445" s="26"/>
      <c r="AJ445" s="26"/>
      <c r="AK445" s="26"/>
      <c r="AL445" s="26"/>
      <c r="AT445" s="28"/>
    </row>
    <row r="446" spans="33:46">
      <c r="AG446" s="26"/>
      <c r="AH446" s="26"/>
      <c r="AI446" s="26"/>
      <c r="AJ446" s="26"/>
      <c r="AK446" s="26"/>
      <c r="AL446" s="26"/>
      <c r="AT446" s="28"/>
    </row>
    <row r="447" spans="33:46">
      <c r="AG447" s="26"/>
      <c r="AH447" s="26"/>
      <c r="AI447" s="26"/>
      <c r="AJ447" s="26"/>
      <c r="AK447" s="26"/>
      <c r="AL447" s="26"/>
      <c r="AT447" s="28"/>
    </row>
    <row r="448" spans="33:46">
      <c r="AG448" s="26"/>
      <c r="AH448" s="26"/>
      <c r="AI448" s="26"/>
      <c r="AJ448" s="26"/>
      <c r="AK448" s="26"/>
      <c r="AL448" s="26"/>
      <c r="AT448" s="28"/>
    </row>
    <row r="449" spans="33:46">
      <c r="AG449" s="26"/>
      <c r="AH449" s="26"/>
      <c r="AI449" s="26"/>
      <c r="AJ449" s="26"/>
      <c r="AK449" s="26"/>
      <c r="AL449" s="26"/>
      <c r="AT449" s="28"/>
    </row>
    <row r="450" spans="33:46">
      <c r="AG450" s="26"/>
      <c r="AH450" s="26"/>
      <c r="AI450" s="26"/>
      <c r="AJ450" s="26"/>
      <c r="AK450" s="26"/>
      <c r="AL450" s="26"/>
      <c r="AT450" s="28"/>
    </row>
    <row r="451" spans="33:46">
      <c r="AG451" s="26"/>
      <c r="AH451" s="26"/>
      <c r="AI451" s="26"/>
      <c r="AJ451" s="26"/>
      <c r="AK451" s="26"/>
      <c r="AL451" s="26"/>
      <c r="AT451" s="28"/>
    </row>
    <row r="452" spans="33:46">
      <c r="AG452" s="26"/>
      <c r="AH452" s="26"/>
      <c r="AI452" s="26"/>
      <c r="AJ452" s="26"/>
      <c r="AK452" s="26"/>
      <c r="AL452" s="26"/>
      <c r="AT452" s="28"/>
    </row>
    <row r="453" spans="33:46">
      <c r="AG453" s="26"/>
      <c r="AH453" s="26"/>
      <c r="AI453" s="26"/>
      <c r="AJ453" s="26"/>
      <c r="AK453" s="26"/>
      <c r="AL453" s="26"/>
      <c r="AT453" s="28"/>
    </row>
    <row r="454" spans="33:46">
      <c r="AG454" s="26"/>
      <c r="AH454" s="26"/>
      <c r="AI454" s="26"/>
      <c r="AJ454" s="26"/>
      <c r="AK454" s="26"/>
      <c r="AL454" s="26"/>
      <c r="AT454" s="28"/>
    </row>
    <row r="455" spans="33:46">
      <c r="AG455" s="26"/>
      <c r="AH455" s="26"/>
      <c r="AI455" s="26"/>
      <c r="AJ455" s="26"/>
      <c r="AK455" s="26"/>
      <c r="AL455" s="26"/>
      <c r="AT455" s="28"/>
    </row>
    <row r="456" spans="33:46">
      <c r="AG456" s="26"/>
      <c r="AH456" s="26"/>
      <c r="AI456" s="26"/>
      <c r="AJ456" s="26"/>
      <c r="AK456" s="26"/>
      <c r="AL456" s="26"/>
      <c r="AT456" s="28"/>
    </row>
    <row r="457" spans="33:46">
      <c r="AG457" s="26"/>
      <c r="AH457" s="26"/>
      <c r="AI457" s="26"/>
      <c r="AJ457" s="26"/>
      <c r="AK457" s="26"/>
      <c r="AL457" s="26"/>
      <c r="AT457" s="28"/>
    </row>
    <row r="458" spans="33:46">
      <c r="AG458" s="26"/>
      <c r="AH458" s="26"/>
      <c r="AI458" s="26"/>
      <c r="AJ458" s="26"/>
      <c r="AK458" s="26"/>
      <c r="AL458" s="26"/>
      <c r="AT458" s="28"/>
    </row>
    <row r="459" spans="33:46">
      <c r="AG459" s="26"/>
      <c r="AH459" s="26"/>
      <c r="AI459" s="26"/>
      <c r="AJ459" s="26"/>
      <c r="AK459" s="26"/>
      <c r="AL459" s="26"/>
      <c r="AT459" s="28"/>
    </row>
    <row r="460" spans="33:46">
      <c r="AG460" s="26"/>
      <c r="AH460" s="26"/>
      <c r="AI460" s="26"/>
      <c r="AJ460" s="26"/>
      <c r="AK460" s="26"/>
      <c r="AL460" s="26"/>
      <c r="AT460" s="28"/>
    </row>
    <row r="461" spans="33:46">
      <c r="AG461" s="26"/>
      <c r="AH461" s="26"/>
      <c r="AI461" s="26"/>
      <c r="AJ461" s="26"/>
      <c r="AK461" s="26"/>
      <c r="AL461" s="26"/>
      <c r="AT461" s="28"/>
    </row>
    <row r="462" spans="33:46">
      <c r="AG462" s="26"/>
      <c r="AH462" s="26"/>
      <c r="AI462" s="26"/>
      <c r="AJ462" s="26"/>
      <c r="AK462" s="26"/>
      <c r="AL462" s="26"/>
      <c r="AT462" s="28"/>
    </row>
    <row r="463" spans="33:46">
      <c r="AG463" s="26"/>
      <c r="AH463" s="26"/>
      <c r="AI463" s="26"/>
      <c r="AJ463" s="26"/>
      <c r="AK463" s="26"/>
      <c r="AL463" s="26"/>
      <c r="AT463" s="28"/>
    </row>
    <row r="464" spans="33:46">
      <c r="AG464" s="26"/>
      <c r="AH464" s="26"/>
      <c r="AI464" s="26"/>
      <c r="AJ464" s="26"/>
      <c r="AK464" s="26"/>
      <c r="AL464" s="26"/>
      <c r="AT464" s="28"/>
    </row>
    <row r="465" spans="33:46">
      <c r="AG465" s="26"/>
      <c r="AH465" s="26"/>
      <c r="AI465" s="26"/>
      <c r="AJ465" s="26"/>
      <c r="AK465" s="26"/>
      <c r="AL465" s="26"/>
      <c r="AT465" s="28"/>
    </row>
    <row r="466" spans="33:46">
      <c r="AG466" s="26"/>
      <c r="AH466" s="26"/>
      <c r="AI466" s="26"/>
      <c r="AJ466" s="26"/>
      <c r="AK466" s="26"/>
      <c r="AL466" s="26"/>
      <c r="AT466" s="28"/>
    </row>
    <row r="467" spans="33:46">
      <c r="AG467" s="26"/>
      <c r="AH467" s="26"/>
      <c r="AI467" s="26"/>
      <c r="AJ467" s="26"/>
      <c r="AK467" s="26"/>
      <c r="AL467" s="26"/>
      <c r="AT467" s="28"/>
    </row>
    <row r="468" spans="33:46">
      <c r="AG468" s="26"/>
      <c r="AH468" s="26"/>
      <c r="AI468" s="26"/>
      <c r="AJ468" s="26"/>
      <c r="AK468" s="26"/>
      <c r="AL468" s="26"/>
      <c r="AT468" s="28"/>
    </row>
    <row r="469" spans="33:46">
      <c r="AG469" s="26"/>
      <c r="AH469" s="26"/>
      <c r="AI469" s="26"/>
      <c r="AJ469" s="26"/>
      <c r="AK469" s="26"/>
      <c r="AL469" s="26"/>
      <c r="AT469" s="28"/>
    </row>
    <row r="470" spans="33:46">
      <c r="AG470" s="26"/>
      <c r="AH470" s="26"/>
      <c r="AI470" s="26"/>
      <c r="AJ470" s="26"/>
      <c r="AK470" s="26"/>
      <c r="AL470" s="26"/>
      <c r="AT470" s="28"/>
    </row>
    <row r="471" spans="33:46">
      <c r="AG471" s="26"/>
      <c r="AH471" s="26"/>
      <c r="AI471" s="26"/>
      <c r="AJ471" s="26"/>
      <c r="AK471" s="26"/>
      <c r="AL471" s="26"/>
      <c r="AT471" s="28"/>
    </row>
    <row r="472" spans="33:46">
      <c r="AG472" s="26"/>
      <c r="AH472" s="26"/>
      <c r="AI472" s="26"/>
      <c r="AJ472" s="26"/>
      <c r="AK472" s="26"/>
      <c r="AL472" s="26"/>
      <c r="AT472" s="28"/>
    </row>
    <row r="473" spans="33:46">
      <c r="AG473" s="26"/>
      <c r="AH473" s="26"/>
      <c r="AI473" s="26"/>
      <c r="AJ473" s="26"/>
      <c r="AK473" s="26"/>
      <c r="AL473" s="26"/>
      <c r="AT473" s="28"/>
    </row>
    <row r="474" spans="33:46">
      <c r="AG474" s="26"/>
      <c r="AH474" s="26"/>
      <c r="AI474" s="26"/>
      <c r="AJ474" s="26"/>
      <c r="AK474" s="26"/>
      <c r="AL474" s="26"/>
      <c r="AT474" s="28"/>
    </row>
    <row r="475" spans="33:46">
      <c r="AG475" s="26"/>
      <c r="AH475" s="26"/>
      <c r="AI475" s="26"/>
      <c r="AJ475" s="26"/>
      <c r="AK475" s="26"/>
      <c r="AL475" s="26"/>
      <c r="AT475" s="28"/>
    </row>
    <row r="476" spans="33:46">
      <c r="AG476" s="26"/>
      <c r="AH476" s="26"/>
      <c r="AI476" s="26"/>
      <c r="AJ476" s="26"/>
      <c r="AK476" s="26"/>
      <c r="AL476" s="26"/>
      <c r="AT476" s="28"/>
    </row>
    <row r="477" spans="33:46">
      <c r="AG477" s="26"/>
      <c r="AH477" s="26"/>
      <c r="AI477" s="26"/>
      <c r="AJ477" s="26"/>
      <c r="AK477" s="26"/>
      <c r="AL477" s="26"/>
      <c r="AT477" s="28"/>
    </row>
    <row r="478" spans="33:46">
      <c r="AG478" s="26"/>
      <c r="AH478" s="26"/>
      <c r="AI478" s="26"/>
      <c r="AJ478" s="26"/>
      <c r="AK478" s="26"/>
      <c r="AL478" s="26"/>
      <c r="AT478" s="28"/>
    </row>
    <row r="479" spans="33:46">
      <c r="AG479" s="26"/>
      <c r="AH479" s="26"/>
      <c r="AI479" s="26"/>
      <c r="AJ479" s="26"/>
      <c r="AK479" s="26"/>
      <c r="AL479" s="26"/>
      <c r="AT479" s="28"/>
    </row>
    <row r="480" spans="33:46">
      <c r="AG480" s="26"/>
      <c r="AH480" s="26"/>
      <c r="AI480" s="26"/>
      <c r="AJ480" s="26"/>
      <c r="AK480" s="26"/>
      <c r="AL480" s="26"/>
      <c r="AT480" s="28"/>
    </row>
    <row r="481" spans="33:46">
      <c r="AG481" s="26"/>
      <c r="AH481" s="26"/>
      <c r="AI481" s="26"/>
      <c r="AJ481" s="26"/>
      <c r="AK481" s="26"/>
      <c r="AL481" s="26"/>
      <c r="AT481" s="28"/>
    </row>
    <row r="482" spans="33:46">
      <c r="AG482" s="26"/>
      <c r="AH482" s="26"/>
      <c r="AI482" s="26"/>
      <c r="AJ482" s="26"/>
      <c r="AK482" s="26"/>
      <c r="AL482" s="26"/>
      <c r="AT482" s="28"/>
    </row>
    <row r="483" spans="33:46">
      <c r="AG483" s="26"/>
      <c r="AH483" s="26"/>
      <c r="AI483" s="26"/>
      <c r="AJ483" s="26"/>
      <c r="AK483" s="26"/>
      <c r="AL483" s="26"/>
      <c r="AT483" s="28"/>
    </row>
    <row r="484" spans="33:46">
      <c r="AG484" s="26"/>
      <c r="AH484" s="26"/>
      <c r="AI484" s="26"/>
      <c r="AJ484" s="26"/>
      <c r="AK484" s="26"/>
      <c r="AL484" s="26"/>
      <c r="AT484" s="28"/>
    </row>
    <row r="485" spans="33:46">
      <c r="AG485" s="26"/>
      <c r="AH485" s="26"/>
      <c r="AI485" s="26"/>
      <c r="AJ485" s="26"/>
      <c r="AK485" s="26"/>
      <c r="AL485" s="26"/>
      <c r="AT485" s="28"/>
    </row>
    <row r="486" spans="33:46">
      <c r="AG486" s="26"/>
      <c r="AH486" s="26"/>
      <c r="AI486" s="26"/>
      <c r="AJ486" s="26"/>
      <c r="AK486" s="26"/>
      <c r="AL486" s="26"/>
      <c r="AT486" s="28"/>
    </row>
    <row r="487" spans="33:46">
      <c r="AG487" s="26"/>
      <c r="AH487" s="26"/>
      <c r="AI487" s="26"/>
      <c r="AJ487" s="26"/>
      <c r="AK487" s="26"/>
      <c r="AL487" s="26"/>
      <c r="AT487" s="28"/>
    </row>
    <row r="488" spans="33:46">
      <c r="AG488" s="26"/>
      <c r="AH488" s="26"/>
      <c r="AI488" s="26"/>
      <c r="AJ488" s="26"/>
      <c r="AK488" s="26"/>
      <c r="AL488" s="26"/>
      <c r="AT488" s="28"/>
    </row>
    <row r="489" spans="33:46">
      <c r="AG489" s="26"/>
      <c r="AH489" s="26"/>
      <c r="AI489" s="26"/>
      <c r="AJ489" s="26"/>
      <c r="AK489" s="26"/>
      <c r="AL489" s="26"/>
      <c r="AT489" s="28"/>
    </row>
    <row r="490" spans="33:46">
      <c r="AG490" s="26"/>
      <c r="AH490" s="26"/>
      <c r="AI490" s="26"/>
      <c r="AJ490" s="26"/>
      <c r="AK490" s="26"/>
      <c r="AL490" s="26"/>
      <c r="AT490" s="28"/>
    </row>
    <row r="491" spans="33:46">
      <c r="AG491" s="26"/>
      <c r="AH491" s="26"/>
      <c r="AI491" s="26"/>
      <c r="AJ491" s="26"/>
      <c r="AK491" s="26"/>
      <c r="AL491" s="26"/>
      <c r="AT491" s="28"/>
    </row>
    <row r="492" spans="33:46">
      <c r="AG492" s="26"/>
      <c r="AH492" s="26"/>
      <c r="AI492" s="26"/>
      <c r="AJ492" s="26"/>
      <c r="AK492" s="26"/>
      <c r="AL492" s="26"/>
      <c r="AT492" s="28"/>
    </row>
    <row r="493" spans="33:46">
      <c r="AG493" s="26"/>
      <c r="AH493" s="26"/>
      <c r="AI493" s="26"/>
      <c r="AJ493" s="26"/>
      <c r="AK493" s="26"/>
      <c r="AL493" s="26"/>
      <c r="AT493" s="28"/>
    </row>
    <row r="494" spans="33:46">
      <c r="AG494" s="26"/>
      <c r="AH494" s="26"/>
      <c r="AI494" s="26"/>
      <c r="AJ494" s="26"/>
      <c r="AK494" s="26"/>
      <c r="AL494" s="26"/>
      <c r="AT494" s="28"/>
    </row>
    <row r="495" spans="33:46">
      <c r="AG495" s="26"/>
      <c r="AH495" s="26"/>
      <c r="AI495" s="26"/>
      <c r="AJ495" s="26"/>
      <c r="AK495" s="26"/>
      <c r="AL495" s="26"/>
      <c r="AT495" s="28"/>
    </row>
    <row r="496" spans="33:46">
      <c r="AG496" s="26"/>
      <c r="AH496" s="26"/>
      <c r="AI496" s="26"/>
      <c r="AJ496" s="26"/>
      <c r="AK496" s="26"/>
      <c r="AL496" s="26"/>
      <c r="AT496" s="28"/>
    </row>
    <row r="497" spans="33:46">
      <c r="AG497" s="26"/>
      <c r="AH497" s="26"/>
      <c r="AI497" s="26"/>
      <c r="AJ497" s="26"/>
      <c r="AK497" s="26"/>
      <c r="AL497" s="26"/>
      <c r="AT497" s="28"/>
    </row>
    <row r="498" spans="33:46">
      <c r="AG498" s="26"/>
      <c r="AH498" s="26"/>
      <c r="AI498" s="26"/>
      <c r="AJ498" s="26"/>
      <c r="AK498" s="26"/>
      <c r="AL498" s="26"/>
      <c r="AT498" s="28"/>
    </row>
    <row r="499" spans="33:46">
      <c r="AG499" s="26"/>
      <c r="AH499" s="26"/>
      <c r="AI499" s="26"/>
      <c r="AJ499" s="26"/>
      <c r="AK499" s="26"/>
      <c r="AL499" s="26"/>
      <c r="AT499" s="28"/>
    </row>
    <row r="500" spans="33:46">
      <c r="AG500" s="26"/>
      <c r="AH500" s="26"/>
      <c r="AI500" s="26"/>
      <c r="AJ500" s="26"/>
      <c r="AK500" s="26"/>
      <c r="AL500" s="26"/>
      <c r="AT500" s="28"/>
    </row>
    <row r="501" spans="33:46">
      <c r="AG501" s="26"/>
      <c r="AH501" s="26"/>
      <c r="AI501" s="26"/>
      <c r="AJ501" s="26"/>
      <c r="AK501" s="26"/>
      <c r="AL501" s="26"/>
      <c r="AT501" s="28"/>
    </row>
    <row r="502" spans="33:46">
      <c r="AG502" s="26"/>
      <c r="AH502" s="26"/>
      <c r="AI502" s="26"/>
      <c r="AJ502" s="26"/>
      <c r="AK502" s="26"/>
      <c r="AL502" s="26"/>
      <c r="AT502" s="28"/>
    </row>
    <row r="503" spans="33:46">
      <c r="AG503" s="26"/>
      <c r="AH503" s="26"/>
      <c r="AI503" s="26"/>
      <c r="AJ503" s="26"/>
      <c r="AK503" s="26"/>
      <c r="AL503" s="26"/>
      <c r="AT503" s="28"/>
    </row>
    <row r="504" spans="33:46">
      <c r="AG504" s="26"/>
      <c r="AH504" s="26"/>
      <c r="AI504" s="26"/>
      <c r="AJ504" s="26"/>
      <c r="AK504" s="26"/>
      <c r="AL504" s="26"/>
      <c r="AT504" s="28"/>
    </row>
    <row r="505" spans="33:46">
      <c r="AG505" s="26"/>
      <c r="AH505" s="26"/>
      <c r="AI505" s="26"/>
      <c r="AJ505" s="26"/>
      <c r="AK505" s="26"/>
      <c r="AL505" s="26"/>
      <c r="AT505" s="28"/>
    </row>
    <row r="506" spans="33:46">
      <c r="AG506" s="26"/>
      <c r="AH506" s="26"/>
      <c r="AI506" s="26"/>
      <c r="AJ506" s="26"/>
      <c r="AK506" s="26"/>
      <c r="AL506" s="26"/>
      <c r="AT506" s="28"/>
    </row>
    <row r="507" spans="33:46">
      <c r="AG507" s="26"/>
      <c r="AH507" s="26"/>
      <c r="AI507" s="26"/>
      <c r="AJ507" s="26"/>
      <c r="AK507" s="26"/>
      <c r="AL507" s="26"/>
      <c r="AT507" s="28"/>
    </row>
    <row r="508" spans="33:46">
      <c r="AG508" s="26"/>
      <c r="AH508" s="26"/>
      <c r="AI508" s="26"/>
      <c r="AJ508" s="26"/>
      <c r="AK508" s="26"/>
      <c r="AL508" s="26"/>
      <c r="AT508" s="28"/>
    </row>
    <row r="509" spans="33:46">
      <c r="AG509" s="26"/>
      <c r="AH509" s="26"/>
      <c r="AI509" s="26"/>
      <c r="AJ509" s="26"/>
      <c r="AK509" s="26"/>
      <c r="AL509" s="26"/>
      <c r="AT509" s="28"/>
    </row>
    <row r="510" spans="33:46">
      <c r="AG510" s="26"/>
      <c r="AH510" s="26"/>
      <c r="AI510" s="26"/>
      <c r="AJ510" s="26"/>
      <c r="AK510" s="26"/>
      <c r="AL510" s="26"/>
      <c r="AT510" s="28"/>
    </row>
    <row r="511" spans="33:46">
      <c r="AG511" s="26"/>
      <c r="AH511" s="26"/>
      <c r="AI511" s="26"/>
      <c r="AJ511" s="26"/>
      <c r="AK511" s="26"/>
      <c r="AL511" s="26"/>
      <c r="AT511" s="28"/>
    </row>
    <row r="512" spans="33:46">
      <c r="AG512" s="26"/>
      <c r="AH512" s="26"/>
      <c r="AI512" s="26"/>
      <c r="AJ512" s="26"/>
      <c r="AK512" s="26"/>
      <c r="AL512" s="26"/>
      <c r="AT512" s="28"/>
    </row>
    <row r="513" spans="33:46">
      <c r="AG513" s="26"/>
      <c r="AH513" s="26"/>
      <c r="AI513" s="26"/>
      <c r="AJ513" s="26"/>
      <c r="AK513" s="26"/>
      <c r="AL513" s="26"/>
      <c r="AT513" s="28"/>
    </row>
    <row r="514" spans="33:46">
      <c r="AG514" s="26"/>
      <c r="AH514" s="26"/>
      <c r="AI514" s="26"/>
      <c r="AJ514" s="26"/>
      <c r="AK514" s="26"/>
      <c r="AL514" s="26"/>
      <c r="AT514" s="28"/>
    </row>
    <row r="515" spans="33:46">
      <c r="AG515" s="26"/>
      <c r="AH515" s="26"/>
      <c r="AI515" s="26"/>
      <c r="AJ515" s="26"/>
      <c r="AK515" s="26"/>
      <c r="AL515" s="26"/>
      <c r="AT515" s="28"/>
    </row>
    <row r="516" spans="33:46">
      <c r="AG516" s="26"/>
      <c r="AH516" s="26"/>
      <c r="AI516" s="26"/>
      <c r="AJ516" s="26"/>
      <c r="AK516" s="26"/>
      <c r="AL516" s="26"/>
      <c r="AT516" s="28"/>
    </row>
    <row r="517" spans="33:46">
      <c r="AG517" s="26"/>
      <c r="AH517" s="26"/>
      <c r="AI517" s="26"/>
      <c r="AJ517" s="26"/>
      <c r="AK517" s="26"/>
      <c r="AL517" s="26"/>
      <c r="AT517" s="28"/>
    </row>
    <row r="518" spans="33:46">
      <c r="AG518" s="26"/>
      <c r="AH518" s="26"/>
      <c r="AI518" s="26"/>
      <c r="AJ518" s="26"/>
      <c r="AK518" s="26"/>
      <c r="AL518" s="26"/>
      <c r="AT518" s="28"/>
    </row>
    <row r="519" spans="33:46">
      <c r="AG519" s="26"/>
      <c r="AH519" s="26"/>
      <c r="AI519" s="26"/>
      <c r="AJ519" s="26"/>
      <c r="AK519" s="26"/>
      <c r="AL519" s="26"/>
      <c r="AT519" s="28"/>
    </row>
    <row r="520" spans="33:46">
      <c r="AG520" s="26"/>
      <c r="AH520" s="26"/>
      <c r="AI520" s="26"/>
      <c r="AJ520" s="26"/>
      <c r="AK520" s="26"/>
      <c r="AL520" s="26"/>
      <c r="AT520" s="28"/>
    </row>
    <row r="521" spans="33:46">
      <c r="AG521" s="26"/>
      <c r="AH521" s="26"/>
      <c r="AI521" s="26"/>
      <c r="AJ521" s="26"/>
      <c r="AK521" s="26"/>
      <c r="AL521" s="26"/>
      <c r="AT521" s="28"/>
    </row>
    <row r="522" spans="33:46">
      <c r="AG522" s="26"/>
      <c r="AH522" s="26"/>
      <c r="AI522" s="26"/>
      <c r="AJ522" s="26"/>
      <c r="AK522" s="26"/>
      <c r="AL522" s="26"/>
      <c r="AT522" s="28"/>
    </row>
    <row r="523" spans="33:46">
      <c r="AG523" s="26"/>
      <c r="AH523" s="26"/>
      <c r="AI523" s="26"/>
      <c r="AJ523" s="26"/>
      <c r="AK523" s="26"/>
      <c r="AL523" s="26"/>
      <c r="AT523" s="28"/>
    </row>
    <row r="524" spans="33:46">
      <c r="AG524" s="26"/>
      <c r="AH524" s="26"/>
      <c r="AI524" s="26"/>
      <c r="AJ524" s="26"/>
      <c r="AK524" s="26"/>
      <c r="AL524" s="26"/>
      <c r="AT524" s="28"/>
    </row>
    <row r="525" spans="33:46">
      <c r="AG525" s="26"/>
      <c r="AH525" s="26"/>
      <c r="AI525" s="26"/>
      <c r="AJ525" s="26"/>
      <c r="AK525" s="26"/>
      <c r="AL525" s="26"/>
      <c r="AT525" s="28"/>
    </row>
    <row r="526" spans="33:46">
      <c r="AG526" s="26"/>
      <c r="AH526" s="26"/>
      <c r="AI526" s="26"/>
      <c r="AJ526" s="26"/>
      <c r="AK526" s="26"/>
      <c r="AL526" s="26"/>
      <c r="AT526" s="28"/>
    </row>
    <row r="527" spans="33:46">
      <c r="AG527" s="26"/>
      <c r="AH527" s="26"/>
      <c r="AI527" s="26"/>
      <c r="AJ527" s="26"/>
      <c r="AK527" s="26"/>
      <c r="AL527" s="26"/>
      <c r="AT527" s="28"/>
    </row>
    <row r="528" spans="33:46">
      <c r="AG528" s="26"/>
      <c r="AH528" s="26"/>
      <c r="AI528" s="26"/>
      <c r="AJ528" s="26"/>
      <c r="AK528" s="26"/>
      <c r="AL528" s="26"/>
      <c r="AT528" s="28"/>
    </row>
    <row r="529" spans="33:46">
      <c r="AG529" s="26"/>
      <c r="AH529" s="26"/>
      <c r="AI529" s="26"/>
      <c r="AJ529" s="26"/>
      <c r="AK529" s="26"/>
      <c r="AL529" s="26"/>
      <c r="AT529" s="28"/>
    </row>
    <row r="530" spans="33:46">
      <c r="AG530" s="26"/>
      <c r="AH530" s="26"/>
      <c r="AI530" s="26"/>
      <c r="AJ530" s="26"/>
      <c r="AK530" s="26"/>
      <c r="AL530" s="26"/>
      <c r="AT530" s="28"/>
    </row>
    <row r="531" spans="33:46">
      <c r="AG531" s="26"/>
      <c r="AH531" s="26"/>
      <c r="AI531" s="26"/>
      <c r="AJ531" s="26"/>
      <c r="AK531" s="26"/>
      <c r="AL531" s="26"/>
      <c r="AT531" s="28"/>
    </row>
    <row r="532" spans="33:46">
      <c r="AG532" s="26"/>
      <c r="AH532" s="26"/>
      <c r="AI532" s="26"/>
      <c r="AJ532" s="26"/>
      <c r="AK532" s="26"/>
      <c r="AL532" s="26"/>
      <c r="AT532" s="28"/>
    </row>
    <row r="533" spans="33:46">
      <c r="AG533" s="26"/>
      <c r="AH533" s="26"/>
      <c r="AI533" s="26"/>
      <c r="AJ533" s="26"/>
      <c r="AK533" s="26"/>
      <c r="AL533" s="26"/>
      <c r="AT533" s="28"/>
    </row>
    <row r="534" spans="33:46">
      <c r="AG534" s="26"/>
      <c r="AH534" s="26"/>
      <c r="AI534" s="26"/>
      <c r="AJ534" s="26"/>
      <c r="AK534" s="26"/>
      <c r="AL534" s="26"/>
      <c r="AT534" s="28"/>
    </row>
    <row r="535" spans="33:46">
      <c r="AG535" s="26"/>
      <c r="AH535" s="26"/>
      <c r="AI535" s="26"/>
      <c r="AJ535" s="26"/>
      <c r="AK535" s="26"/>
      <c r="AL535" s="26"/>
      <c r="AT535" s="28"/>
    </row>
    <row r="536" spans="33:46">
      <c r="AG536" s="26"/>
      <c r="AH536" s="26"/>
      <c r="AI536" s="26"/>
      <c r="AJ536" s="26"/>
      <c r="AK536" s="26"/>
      <c r="AL536" s="26"/>
      <c r="AT536" s="28"/>
    </row>
    <row r="537" spans="33:46">
      <c r="AG537" s="26"/>
      <c r="AH537" s="26"/>
      <c r="AI537" s="26"/>
      <c r="AJ537" s="26"/>
      <c r="AK537" s="26"/>
      <c r="AL537" s="26"/>
      <c r="AT537" s="28"/>
    </row>
    <row r="538" spans="33:46">
      <c r="AG538" s="26"/>
      <c r="AH538" s="26"/>
      <c r="AI538" s="26"/>
      <c r="AJ538" s="26"/>
      <c r="AK538" s="26"/>
      <c r="AL538" s="26"/>
      <c r="AT538" s="28"/>
    </row>
    <row r="539" spans="33:46">
      <c r="AG539" s="26"/>
      <c r="AH539" s="26"/>
      <c r="AI539" s="26"/>
      <c r="AJ539" s="26"/>
      <c r="AK539" s="26"/>
      <c r="AL539" s="26"/>
      <c r="AT539" s="28"/>
    </row>
    <row r="540" spans="33:46">
      <c r="AG540" s="26"/>
      <c r="AH540" s="26"/>
      <c r="AI540" s="26"/>
      <c r="AJ540" s="26"/>
      <c r="AK540" s="26"/>
      <c r="AL540" s="26"/>
      <c r="AT540" s="28"/>
    </row>
    <row r="541" spans="33:46">
      <c r="AG541" s="26"/>
      <c r="AH541" s="26"/>
      <c r="AI541" s="26"/>
      <c r="AJ541" s="26"/>
      <c r="AK541" s="26"/>
      <c r="AL541" s="26"/>
      <c r="AT541" s="28"/>
    </row>
    <row r="542" spans="33:46">
      <c r="AG542" s="26"/>
      <c r="AH542" s="26"/>
      <c r="AI542" s="26"/>
      <c r="AJ542" s="26"/>
      <c r="AK542" s="26"/>
      <c r="AL542" s="26"/>
      <c r="AT542" s="28"/>
    </row>
    <row r="543" spans="33:46">
      <c r="AG543" s="26"/>
      <c r="AH543" s="26"/>
      <c r="AI543" s="26"/>
      <c r="AJ543" s="26"/>
      <c r="AK543" s="26"/>
      <c r="AL543" s="26"/>
      <c r="AT543" s="28"/>
    </row>
    <row r="544" spans="33:46">
      <c r="AG544" s="26"/>
      <c r="AH544" s="26"/>
      <c r="AI544" s="26"/>
      <c r="AJ544" s="26"/>
      <c r="AK544" s="26"/>
      <c r="AL544" s="26"/>
      <c r="AT544" s="28"/>
    </row>
    <row r="545" spans="33:46">
      <c r="AG545" s="26"/>
      <c r="AH545" s="26"/>
      <c r="AI545" s="26"/>
      <c r="AJ545" s="26"/>
      <c r="AK545" s="26"/>
      <c r="AL545" s="26"/>
      <c r="AT545" s="28"/>
    </row>
    <row r="546" spans="33:46">
      <c r="AG546" s="26"/>
      <c r="AH546" s="26"/>
      <c r="AI546" s="26"/>
      <c r="AJ546" s="26"/>
      <c r="AK546" s="26"/>
      <c r="AL546" s="26"/>
      <c r="AT546" s="28"/>
    </row>
    <row r="547" spans="33:46">
      <c r="AG547" s="26"/>
      <c r="AH547" s="26"/>
      <c r="AI547" s="26"/>
      <c r="AJ547" s="26"/>
      <c r="AK547" s="26"/>
      <c r="AL547" s="26"/>
      <c r="AT547" s="28"/>
    </row>
    <row r="548" spans="33:46">
      <c r="AG548" s="26"/>
      <c r="AH548" s="26"/>
      <c r="AI548" s="26"/>
      <c r="AJ548" s="26"/>
      <c r="AK548" s="26"/>
      <c r="AL548" s="26"/>
      <c r="AT548" s="28"/>
    </row>
    <row r="549" spans="33:46">
      <c r="AG549" s="26"/>
      <c r="AH549" s="26"/>
      <c r="AI549" s="26"/>
      <c r="AJ549" s="26"/>
      <c r="AK549" s="26"/>
      <c r="AL549" s="26"/>
      <c r="AT549" s="28"/>
    </row>
    <row r="550" spans="33:46">
      <c r="AG550" s="26"/>
      <c r="AH550" s="26"/>
      <c r="AI550" s="26"/>
      <c r="AJ550" s="26"/>
      <c r="AK550" s="26"/>
      <c r="AL550" s="26"/>
      <c r="AT550" s="28"/>
    </row>
    <row r="551" spans="33:46">
      <c r="AG551" s="26"/>
      <c r="AH551" s="26"/>
      <c r="AI551" s="26"/>
      <c r="AJ551" s="26"/>
      <c r="AK551" s="26"/>
      <c r="AL551" s="26"/>
      <c r="AT551" s="28"/>
    </row>
    <row r="552" spans="33:46">
      <c r="AG552" s="26"/>
      <c r="AH552" s="26"/>
      <c r="AI552" s="26"/>
      <c r="AJ552" s="26"/>
      <c r="AK552" s="26"/>
      <c r="AL552" s="26"/>
      <c r="AT552" s="28"/>
    </row>
    <row r="553" spans="33:46">
      <c r="AG553" s="26"/>
      <c r="AH553" s="26"/>
      <c r="AI553" s="26"/>
      <c r="AJ553" s="26"/>
      <c r="AK553" s="26"/>
      <c r="AL553" s="26"/>
      <c r="AT553" s="28"/>
    </row>
    <row r="554" spans="33:46">
      <c r="AG554" s="26"/>
      <c r="AH554" s="26"/>
      <c r="AI554" s="26"/>
      <c r="AJ554" s="26"/>
      <c r="AK554" s="26"/>
      <c r="AL554" s="26"/>
      <c r="AT554" s="28"/>
    </row>
    <row r="555" spans="33:46">
      <c r="AG555" s="26"/>
      <c r="AH555" s="26"/>
      <c r="AI555" s="26"/>
      <c r="AJ555" s="26"/>
      <c r="AK555" s="26"/>
      <c r="AL555" s="26"/>
      <c r="AT555" s="28"/>
    </row>
    <row r="556" spans="33:46">
      <c r="AG556" s="26"/>
      <c r="AH556" s="26"/>
      <c r="AI556" s="26"/>
      <c r="AJ556" s="26"/>
      <c r="AK556" s="26"/>
      <c r="AL556" s="26"/>
      <c r="AT556" s="28"/>
    </row>
    <row r="557" spans="33:46">
      <c r="AG557" s="26"/>
      <c r="AH557" s="26"/>
      <c r="AI557" s="26"/>
      <c r="AJ557" s="26"/>
      <c r="AK557" s="26"/>
      <c r="AL557" s="26"/>
      <c r="AT557" s="28"/>
    </row>
    <row r="558" spans="33:46">
      <c r="AG558" s="26"/>
      <c r="AH558" s="26"/>
      <c r="AI558" s="26"/>
      <c r="AJ558" s="26"/>
      <c r="AK558" s="26"/>
      <c r="AL558" s="26"/>
      <c r="AT558" s="28"/>
    </row>
    <row r="559" spans="33:46">
      <c r="AG559" s="26"/>
      <c r="AH559" s="26"/>
      <c r="AI559" s="26"/>
      <c r="AJ559" s="26"/>
      <c r="AK559" s="26"/>
      <c r="AL559" s="26"/>
      <c r="AT559" s="28"/>
    </row>
    <row r="560" spans="33:46">
      <c r="AG560" s="26"/>
      <c r="AH560" s="26"/>
      <c r="AI560" s="26"/>
      <c r="AJ560" s="26"/>
      <c r="AK560" s="26"/>
      <c r="AL560" s="26"/>
      <c r="AT560" s="28"/>
    </row>
    <row r="561" spans="33:46">
      <c r="AG561" s="26"/>
      <c r="AH561" s="26"/>
      <c r="AI561" s="26"/>
      <c r="AJ561" s="26"/>
      <c r="AK561" s="26"/>
      <c r="AL561" s="26"/>
      <c r="AT561" s="28"/>
    </row>
    <row r="562" spans="33:46">
      <c r="AG562" s="26"/>
      <c r="AH562" s="26"/>
      <c r="AI562" s="26"/>
      <c r="AJ562" s="26"/>
      <c r="AK562" s="26"/>
      <c r="AL562" s="26"/>
      <c r="AT562" s="28"/>
    </row>
    <row r="563" spans="33:46">
      <c r="AG563" s="26"/>
      <c r="AH563" s="26"/>
      <c r="AI563" s="26"/>
      <c r="AJ563" s="26"/>
      <c r="AK563" s="26"/>
      <c r="AL563" s="26"/>
      <c r="AT563" s="28"/>
    </row>
    <row r="564" spans="33:46">
      <c r="AG564" s="26"/>
      <c r="AH564" s="26"/>
      <c r="AI564" s="26"/>
      <c r="AJ564" s="26"/>
      <c r="AK564" s="26"/>
      <c r="AL564" s="26"/>
      <c r="AT564" s="28"/>
    </row>
    <row r="565" spans="33:46">
      <c r="AG565" s="26"/>
      <c r="AH565" s="26"/>
      <c r="AI565" s="26"/>
      <c r="AJ565" s="26"/>
      <c r="AK565" s="26"/>
      <c r="AL565" s="26"/>
      <c r="AT565" s="28"/>
    </row>
    <row r="566" spans="33:46">
      <c r="AG566" s="26"/>
      <c r="AH566" s="26"/>
      <c r="AI566" s="26"/>
      <c r="AJ566" s="26"/>
      <c r="AK566" s="26"/>
      <c r="AL566" s="26"/>
      <c r="AT566" s="28"/>
    </row>
    <row r="567" spans="33:46">
      <c r="AG567" s="26"/>
      <c r="AH567" s="26"/>
      <c r="AI567" s="26"/>
      <c r="AJ567" s="26"/>
      <c r="AK567" s="26"/>
      <c r="AL567" s="26"/>
      <c r="AT567" s="28"/>
    </row>
    <row r="568" spans="33:46">
      <c r="AG568" s="26"/>
      <c r="AH568" s="26"/>
      <c r="AI568" s="26"/>
      <c r="AJ568" s="26"/>
      <c r="AK568" s="26"/>
      <c r="AL568" s="26"/>
      <c r="AT568" s="28"/>
    </row>
    <row r="569" spans="33:46">
      <c r="AG569" s="26"/>
      <c r="AH569" s="26"/>
      <c r="AI569" s="26"/>
      <c r="AJ569" s="26"/>
      <c r="AK569" s="26"/>
      <c r="AL569" s="26"/>
      <c r="AT569" s="28"/>
    </row>
    <row r="570" spans="33:46">
      <c r="AG570" s="26"/>
      <c r="AH570" s="26"/>
      <c r="AI570" s="26"/>
      <c r="AJ570" s="26"/>
      <c r="AK570" s="26"/>
      <c r="AL570" s="26"/>
      <c r="AT570" s="28"/>
    </row>
    <row r="571" spans="33:46">
      <c r="AG571" s="26"/>
      <c r="AH571" s="26"/>
      <c r="AI571" s="26"/>
      <c r="AJ571" s="26"/>
      <c r="AK571" s="26"/>
      <c r="AL571" s="26"/>
      <c r="AT571" s="28"/>
    </row>
    <row r="572" spans="33:46">
      <c r="AG572" s="26"/>
      <c r="AH572" s="26"/>
      <c r="AI572" s="26"/>
      <c r="AJ572" s="26"/>
      <c r="AK572" s="26"/>
      <c r="AL572" s="26"/>
      <c r="AT572" s="28"/>
    </row>
    <row r="573" spans="33:46">
      <c r="AG573" s="26"/>
      <c r="AH573" s="26"/>
      <c r="AI573" s="26"/>
      <c r="AJ573" s="26"/>
      <c r="AK573" s="26"/>
      <c r="AL573" s="26"/>
      <c r="AT573" s="28"/>
    </row>
    <row r="574" spans="33:46">
      <c r="AG574" s="26"/>
      <c r="AH574" s="26"/>
      <c r="AI574" s="26"/>
      <c r="AJ574" s="26"/>
      <c r="AK574" s="26"/>
      <c r="AL574" s="26"/>
      <c r="AT574" s="28"/>
    </row>
    <row r="575" spans="33:46">
      <c r="AG575" s="26"/>
      <c r="AH575" s="26"/>
      <c r="AI575" s="26"/>
      <c r="AJ575" s="26"/>
      <c r="AK575" s="26"/>
      <c r="AL575" s="26"/>
      <c r="AT575" s="28"/>
    </row>
    <row r="576" spans="33:46">
      <c r="AG576" s="26"/>
      <c r="AH576" s="26"/>
      <c r="AI576" s="26"/>
      <c r="AJ576" s="26"/>
      <c r="AK576" s="26"/>
      <c r="AL576" s="26"/>
      <c r="AT576" s="28"/>
    </row>
    <row r="577" spans="33:46">
      <c r="AG577" s="26"/>
      <c r="AH577" s="26"/>
      <c r="AI577" s="26"/>
      <c r="AJ577" s="26"/>
      <c r="AK577" s="26"/>
      <c r="AL577" s="26"/>
      <c r="AT577" s="28"/>
    </row>
    <row r="578" spans="33:46">
      <c r="AG578" s="26"/>
      <c r="AH578" s="26"/>
      <c r="AI578" s="26"/>
      <c r="AJ578" s="26"/>
      <c r="AK578" s="26"/>
      <c r="AL578" s="26"/>
      <c r="AT578" s="28"/>
    </row>
    <row r="579" spans="33:46">
      <c r="AG579" s="26"/>
      <c r="AH579" s="26"/>
      <c r="AI579" s="26"/>
      <c r="AJ579" s="26"/>
      <c r="AK579" s="26"/>
      <c r="AL579" s="26"/>
      <c r="AT579" s="28"/>
    </row>
    <row r="580" spans="33:46">
      <c r="AG580" s="26"/>
      <c r="AH580" s="26"/>
      <c r="AI580" s="26"/>
      <c r="AJ580" s="26"/>
      <c r="AK580" s="26"/>
      <c r="AL580" s="26"/>
      <c r="AT580" s="28"/>
    </row>
    <row r="581" spans="33:46">
      <c r="AG581" s="26"/>
      <c r="AH581" s="26"/>
      <c r="AI581" s="26"/>
      <c r="AJ581" s="26"/>
      <c r="AK581" s="26"/>
      <c r="AL581" s="26"/>
      <c r="AT581" s="28"/>
    </row>
    <row r="582" spans="33:46">
      <c r="AG582" s="26"/>
      <c r="AH582" s="26"/>
      <c r="AI582" s="26"/>
      <c r="AJ582" s="26"/>
      <c r="AK582" s="26"/>
      <c r="AL582" s="26"/>
      <c r="AT582" s="28"/>
    </row>
    <row r="583" spans="33:46">
      <c r="AG583" s="26"/>
      <c r="AH583" s="26"/>
      <c r="AI583" s="26"/>
      <c r="AJ583" s="26"/>
      <c r="AK583" s="26"/>
      <c r="AL583" s="26"/>
      <c r="AT583" s="28"/>
    </row>
    <row r="584" spans="33:46">
      <c r="AG584" s="26"/>
      <c r="AH584" s="26"/>
      <c r="AI584" s="26"/>
      <c r="AJ584" s="26"/>
      <c r="AK584" s="26"/>
      <c r="AL584" s="26"/>
      <c r="AT584" s="28"/>
    </row>
    <row r="585" spans="33:46">
      <c r="AG585" s="26"/>
      <c r="AH585" s="26"/>
      <c r="AI585" s="26"/>
      <c r="AJ585" s="26"/>
      <c r="AK585" s="26"/>
      <c r="AL585" s="26"/>
      <c r="AT585" s="28"/>
    </row>
    <row r="586" spans="33:46">
      <c r="AG586" s="26"/>
      <c r="AH586" s="26"/>
      <c r="AI586" s="26"/>
      <c r="AJ586" s="26"/>
      <c r="AK586" s="26"/>
      <c r="AL586" s="26"/>
      <c r="AT586" s="28"/>
    </row>
    <row r="587" spans="33:46">
      <c r="AG587" s="26"/>
      <c r="AH587" s="26"/>
      <c r="AI587" s="26"/>
      <c r="AJ587" s="26"/>
      <c r="AK587" s="26"/>
      <c r="AL587" s="26"/>
      <c r="AT587" s="28"/>
    </row>
    <row r="588" spans="33:46">
      <c r="AG588" s="26"/>
      <c r="AH588" s="26"/>
      <c r="AI588" s="26"/>
      <c r="AJ588" s="26"/>
      <c r="AK588" s="26"/>
      <c r="AL588" s="26"/>
      <c r="AT588" s="28"/>
    </row>
    <row r="589" spans="33:46">
      <c r="AG589" s="26"/>
      <c r="AH589" s="26"/>
      <c r="AI589" s="26"/>
      <c r="AJ589" s="26"/>
      <c r="AK589" s="26"/>
      <c r="AL589" s="26"/>
      <c r="AT589" s="28"/>
    </row>
    <row r="590" spans="33:46">
      <c r="AG590" s="26"/>
      <c r="AH590" s="26"/>
      <c r="AI590" s="26"/>
      <c r="AJ590" s="26"/>
      <c r="AK590" s="26"/>
      <c r="AL590" s="26"/>
      <c r="AT590" s="28"/>
    </row>
    <row r="591" spans="33:46">
      <c r="AG591" s="26"/>
      <c r="AH591" s="26"/>
      <c r="AI591" s="26"/>
      <c r="AJ591" s="26"/>
      <c r="AK591" s="26"/>
      <c r="AL591" s="26"/>
      <c r="AT591" s="28"/>
    </row>
    <row r="592" spans="33:46">
      <c r="AG592" s="26"/>
      <c r="AH592" s="26"/>
      <c r="AI592" s="26"/>
      <c r="AJ592" s="26"/>
      <c r="AK592" s="26"/>
      <c r="AL592" s="26"/>
      <c r="AT592" s="28"/>
    </row>
    <row r="593" spans="33:46">
      <c r="AG593" s="26"/>
      <c r="AH593" s="26"/>
      <c r="AI593" s="26"/>
      <c r="AJ593" s="26"/>
      <c r="AK593" s="26"/>
      <c r="AL593" s="26"/>
      <c r="AT593" s="28"/>
    </row>
    <row r="594" spans="33:46">
      <c r="AG594" s="26"/>
      <c r="AH594" s="26"/>
      <c r="AI594" s="26"/>
      <c r="AJ594" s="26"/>
      <c r="AK594" s="26"/>
      <c r="AL594" s="26"/>
      <c r="AT594" s="28"/>
    </row>
    <row r="595" spans="33:46">
      <c r="AG595" s="26"/>
      <c r="AH595" s="26"/>
      <c r="AI595" s="26"/>
      <c r="AJ595" s="26"/>
      <c r="AK595" s="26"/>
      <c r="AL595" s="26"/>
      <c r="AT595" s="28"/>
    </row>
    <row r="596" spans="33:46">
      <c r="AG596" s="26"/>
      <c r="AH596" s="26"/>
      <c r="AI596" s="26"/>
      <c r="AJ596" s="26"/>
      <c r="AK596" s="26"/>
      <c r="AL596" s="26"/>
      <c r="AT596" s="28"/>
    </row>
    <row r="597" spans="33:46">
      <c r="AG597" s="26"/>
      <c r="AH597" s="26"/>
      <c r="AI597" s="26"/>
      <c r="AJ597" s="26"/>
      <c r="AK597" s="26"/>
      <c r="AL597" s="26"/>
      <c r="AT597" s="28"/>
    </row>
    <row r="598" spans="33:46">
      <c r="AG598" s="26"/>
      <c r="AH598" s="26"/>
      <c r="AI598" s="26"/>
      <c r="AJ598" s="26"/>
      <c r="AK598" s="26"/>
      <c r="AL598" s="26"/>
      <c r="AT598" s="28"/>
    </row>
    <row r="599" spans="33:46">
      <c r="AG599" s="26"/>
      <c r="AH599" s="26"/>
      <c r="AI599" s="26"/>
      <c r="AJ599" s="26"/>
      <c r="AK599" s="26"/>
      <c r="AL599" s="26"/>
      <c r="AT599" s="28"/>
    </row>
    <row r="600" spans="33:46">
      <c r="AG600" s="26"/>
      <c r="AH600" s="26"/>
      <c r="AI600" s="26"/>
      <c r="AJ600" s="26"/>
      <c r="AK600" s="26"/>
      <c r="AL600" s="26"/>
      <c r="AT600" s="28"/>
    </row>
    <row r="601" spans="33:46">
      <c r="AG601" s="26"/>
      <c r="AH601" s="26"/>
      <c r="AI601" s="26"/>
      <c r="AJ601" s="26"/>
      <c r="AK601" s="26"/>
      <c r="AL601" s="26"/>
      <c r="AT601" s="28"/>
    </row>
    <row r="602" spans="33:46">
      <c r="AG602" s="26"/>
      <c r="AH602" s="26"/>
      <c r="AI602" s="26"/>
      <c r="AJ602" s="26"/>
      <c r="AK602" s="26"/>
      <c r="AL602" s="26"/>
      <c r="AT602" s="28"/>
    </row>
    <row r="603" spans="33:46">
      <c r="AG603" s="26"/>
      <c r="AH603" s="26"/>
      <c r="AI603" s="26"/>
      <c r="AJ603" s="26"/>
      <c r="AK603" s="26"/>
      <c r="AL603" s="26"/>
      <c r="AT603" s="28"/>
    </row>
    <row r="604" spans="33:46">
      <c r="AG604" s="26"/>
      <c r="AH604" s="26"/>
      <c r="AI604" s="26"/>
      <c r="AJ604" s="26"/>
      <c r="AK604" s="26"/>
      <c r="AL604" s="26"/>
      <c r="AT604" s="28"/>
    </row>
    <row r="605" spans="33:46">
      <c r="AG605" s="26"/>
      <c r="AH605" s="26"/>
      <c r="AI605" s="26"/>
      <c r="AJ605" s="26"/>
      <c r="AK605" s="26"/>
      <c r="AL605" s="26"/>
      <c r="AT605" s="28"/>
    </row>
    <row r="606" spans="33:46">
      <c r="AG606" s="26"/>
      <c r="AH606" s="26"/>
      <c r="AI606" s="26"/>
      <c r="AJ606" s="26"/>
      <c r="AK606" s="26"/>
      <c r="AL606" s="26"/>
      <c r="AT606" s="28"/>
    </row>
    <row r="607" spans="33:46">
      <c r="AG607" s="26"/>
      <c r="AH607" s="26"/>
      <c r="AI607" s="26"/>
      <c r="AJ607" s="26"/>
      <c r="AK607" s="26"/>
      <c r="AL607" s="26"/>
      <c r="AT607" s="28"/>
    </row>
    <row r="608" spans="33:46">
      <c r="AG608" s="26"/>
      <c r="AH608" s="26"/>
      <c r="AI608" s="26"/>
      <c r="AJ608" s="26"/>
      <c r="AK608" s="26"/>
      <c r="AL608" s="26"/>
      <c r="AT608" s="28"/>
    </row>
    <row r="609" spans="33:46">
      <c r="AG609" s="26"/>
      <c r="AH609" s="26"/>
      <c r="AI609" s="26"/>
      <c r="AJ609" s="26"/>
      <c r="AK609" s="26"/>
      <c r="AL609" s="26"/>
      <c r="AT609" s="28"/>
    </row>
    <row r="610" spans="33:46">
      <c r="AG610" s="26"/>
      <c r="AH610" s="26"/>
      <c r="AI610" s="26"/>
      <c r="AJ610" s="26"/>
      <c r="AK610" s="26"/>
      <c r="AL610" s="26"/>
      <c r="AT610" s="28"/>
    </row>
    <row r="611" spans="33:46">
      <c r="AG611" s="26"/>
      <c r="AH611" s="26"/>
      <c r="AI611" s="26"/>
      <c r="AJ611" s="26"/>
      <c r="AK611" s="26"/>
      <c r="AL611" s="26"/>
      <c r="AT611" s="28"/>
    </row>
    <row r="612" spans="33:46">
      <c r="AG612" s="26"/>
      <c r="AH612" s="26"/>
      <c r="AI612" s="26"/>
      <c r="AJ612" s="26"/>
      <c r="AK612" s="26"/>
      <c r="AL612" s="26"/>
      <c r="AT612" s="28"/>
    </row>
    <row r="613" spans="33:46">
      <c r="AG613" s="26"/>
      <c r="AH613" s="26"/>
      <c r="AI613" s="26"/>
      <c r="AJ613" s="26"/>
      <c r="AK613" s="26"/>
      <c r="AL613" s="26"/>
      <c r="AT613" s="28"/>
    </row>
    <row r="614" spans="33:46">
      <c r="AG614" s="26"/>
      <c r="AH614" s="26"/>
      <c r="AI614" s="26"/>
      <c r="AJ614" s="26"/>
      <c r="AK614" s="26"/>
      <c r="AL614" s="26"/>
      <c r="AT614" s="28"/>
    </row>
    <row r="615" spans="33:46">
      <c r="AG615" s="26"/>
      <c r="AH615" s="26"/>
      <c r="AI615" s="26"/>
      <c r="AJ615" s="26"/>
      <c r="AK615" s="26"/>
      <c r="AL615" s="26"/>
      <c r="AT615" s="28"/>
    </row>
    <row r="616" spans="33:46">
      <c r="AG616" s="26"/>
      <c r="AH616" s="26"/>
      <c r="AI616" s="26"/>
      <c r="AJ616" s="26"/>
      <c r="AK616" s="26"/>
      <c r="AL616" s="26"/>
      <c r="AT616" s="28"/>
    </row>
    <row r="617" spans="33:46">
      <c r="AG617" s="26"/>
      <c r="AH617" s="26"/>
      <c r="AI617" s="26"/>
      <c r="AJ617" s="26"/>
      <c r="AK617" s="26"/>
      <c r="AL617" s="26"/>
      <c r="AT617" s="28"/>
    </row>
    <row r="618" spans="33:46">
      <c r="AG618" s="26"/>
      <c r="AH618" s="26"/>
      <c r="AI618" s="26"/>
      <c r="AJ618" s="26"/>
      <c r="AK618" s="26"/>
      <c r="AL618" s="26"/>
      <c r="AT618" s="28"/>
    </row>
    <row r="619" spans="33:46">
      <c r="AG619" s="26"/>
      <c r="AH619" s="26"/>
      <c r="AI619" s="26"/>
      <c r="AJ619" s="26"/>
      <c r="AK619" s="26"/>
      <c r="AL619" s="26"/>
      <c r="AT619" s="28"/>
    </row>
    <row r="620" spans="33:46">
      <c r="AG620" s="26"/>
      <c r="AH620" s="26"/>
      <c r="AI620" s="26"/>
      <c r="AJ620" s="26"/>
      <c r="AK620" s="26"/>
      <c r="AL620" s="26"/>
      <c r="AT620" s="28"/>
    </row>
    <row r="621" spans="33:46">
      <c r="AG621" s="26"/>
      <c r="AH621" s="26"/>
      <c r="AI621" s="26"/>
      <c r="AJ621" s="26"/>
      <c r="AK621" s="26"/>
      <c r="AL621" s="26"/>
      <c r="AT621" s="28"/>
    </row>
    <row r="622" spans="33:46">
      <c r="AG622" s="26"/>
      <c r="AH622" s="26"/>
      <c r="AI622" s="26"/>
      <c r="AJ622" s="26"/>
      <c r="AK622" s="26"/>
      <c r="AL622" s="26"/>
      <c r="AT622" s="28"/>
    </row>
    <row r="623" spans="33:46">
      <c r="AG623" s="26"/>
      <c r="AH623" s="26"/>
      <c r="AI623" s="26"/>
      <c r="AJ623" s="26"/>
      <c r="AK623" s="26"/>
      <c r="AL623" s="26"/>
      <c r="AT623" s="28"/>
    </row>
    <row r="624" spans="33:46">
      <c r="AG624" s="26"/>
      <c r="AH624" s="26"/>
      <c r="AI624" s="26"/>
      <c r="AJ624" s="26"/>
      <c r="AK624" s="26"/>
      <c r="AL624" s="26"/>
      <c r="AT624" s="28"/>
    </row>
    <row r="625" spans="33:46">
      <c r="AG625" s="26"/>
      <c r="AH625" s="26"/>
      <c r="AI625" s="26"/>
      <c r="AJ625" s="26"/>
      <c r="AK625" s="26"/>
      <c r="AL625" s="26"/>
      <c r="AT625" s="28"/>
    </row>
    <row r="626" spans="33:46">
      <c r="AG626" s="26"/>
      <c r="AH626" s="26"/>
      <c r="AI626" s="26"/>
      <c r="AJ626" s="26"/>
      <c r="AK626" s="26"/>
      <c r="AL626" s="26"/>
      <c r="AT626" s="28"/>
    </row>
    <row r="627" spans="33:46">
      <c r="AG627" s="26"/>
      <c r="AH627" s="26"/>
      <c r="AI627" s="26"/>
      <c r="AJ627" s="26"/>
      <c r="AK627" s="26"/>
      <c r="AL627" s="26"/>
      <c r="AT627" s="28"/>
    </row>
    <row r="628" spans="33:46">
      <c r="AG628" s="26"/>
      <c r="AH628" s="26"/>
      <c r="AI628" s="26"/>
      <c r="AJ628" s="26"/>
      <c r="AK628" s="26"/>
      <c r="AL628" s="26"/>
      <c r="AT628" s="28"/>
    </row>
    <row r="629" spans="33:46">
      <c r="AG629" s="26"/>
      <c r="AH629" s="26"/>
      <c r="AI629" s="26"/>
      <c r="AJ629" s="26"/>
      <c r="AK629" s="26"/>
      <c r="AL629" s="26"/>
      <c r="AT629" s="28"/>
    </row>
    <row r="630" spans="33:46">
      <c r="AG630" s="26"/>
      <c r="AH630" s="26"/>
      <c r="AI630" s="26"/>
      <c r="AJ630" s="26"/>
      <c r="AK630" s="26"/>
      <c r="AL630" s="26"/>
      <c r="AT630" s="28"/>
    </row>
    <row r="631" spans="33:46">
      <c r="AG631" s="26"/>
      <c r="AH631" s="26"/>
      <c r="AI631" s="26"/>
      <c r="AJ631" s="26"/>
      <c r="AK631" s="26"/>
      <c r="AL631" s="26"/>
      <c r="AT631" s="28"/>
    </row>
    <row r="632" spans="33:46">
      <c r="AG632" s="26"/>
      <c r="AH632" s="26"/>
      <c r="AI632" s="26"/>
      <c r="AJ632" s="26"/>
      <c r="AK632" s="26"/>
      <c r="AL632" s="26"/>
      <c r="AT632" s="28"/>
    </row>
    <row r="633" spans="33:46">
      <c r="AG633" s="26"/>
      <c r="AH633" s="26"/>
      <c r="AI633" s="26"/>
      <c r="AJ633" s="26"/>
      <c r="AK633" s="26"/>
      <c r="AL633" s="26"/>
      <c r="AT633" s="28"/>
    </row>
    <row r="634" spans="33:46">
      <c r="AG634" s="26"/>
      <c r="AH634" s="26"/>
      <c r="AI634" s="26"/>
      <c r="AJ634" s="26"/>
      <c r="AK634" s="26"/>
      <c r="AL634" s="26"/>
      <c r="AT634" s="28"/>
    </row>
    <row r="635" spans="33:46">
      <c r="AG635" s="26"/>
      <c r="AH635" s="26"/>
      <c r="AI635" s="26"/>
      <c r="AJ635" s="26"/>
      <c r="AK635" s="26"/>
      <c r="AL635" s="26"/>
      <c r="AT635" s="28"/>
    </row>
    <row r="636" spans="33:46">
      <c r="AG636" s="26"/>
      <c r="AH636" s="26"/>
      <c r="AI636" s="26"/>
      <c r="AJ636" s="26"/>
      <c r="AK636" s="26"/>
      <c r="AL636" s="26"/>
      <c r="AT636" s="28"/>
    </row>
    <row r="637" spans="33:46">
      <c r="AG637" s="26"/>
      <c r="AH637" s="26"/>
      <c r="AI637" s="26"/>
      <c r="AJ637" s="26"/>
      <c r="AK637" s="26"/>
      <c r="AL637" s="26"/>
      <c r="AT637" s="28"/>
    </row>
    <row r="638" spans="33:46">
      <c r="AG638" s="26"/>
      <c r="AH638" s="26"/>
      <c r="AI638" s="26"/>
      <c r="AJ638" s="26"/>
      <c r="AK638" s="26"/>
      <c r="AL638" s="26"/>
      <c r="AT638" s="28"/>
    </row>
    <row r="639" spans="33:46">
      <c r="AG639" s="26"/>
      <c r="AH639" s="26"/>
      <c r="AI639" s="26"/>
      <c r="AJ639" s="26"/>
      <c r="AK639" s="26"/>
      <c r="AL639" s="26"/>
      <c r="AT639" s="28"/>
    </row>
    <row r="640" spans="33:46">
      <c r="AG640" s="26"/>
      <c r="AH640" s="26"/>
      <c r="AI640" s="26"/>
      <c r="AJ640" s="26"/>
      <c r="AK640" s="26"/>
      <c r="AL640" s="26"/>
      <c r="AT640" s="28"/>
    </row>
    <row r="641" spans="33:46">
      <c r="AG641" s="26"/>
      <c r="AH641" s="26"/>
      <c r="AI641" s="26"/>
      <c r="AJ641" s="26"/>
      <c r="AK641" s="26"/>
      <c r="AL641" s="26"/>
      <c r="AT641" s="28"/>
    </row>
    <row r="642" spans="33:46">
      <c r="AG642" s="26"/>
      <c r="AH642" s="26"/>
      <c r="AI642" s="26"/>
      <c r="AJ642" s="26"/>
      <c r="AK642" s="26"/>
      <c r="AL642" s="26"/>
      <c r="AT642" s="28"/>
    </row>
    <row r="643" spans="33:46">
      <c r="AG643" s="26"/>
      <c r="AH643" s="26"/>
      <c r="AI643" s="26"/>
      <c r="AJ643" s="26"/>
      <c r="AK643" s="26"/>
      <c r="AL643" s="26"/>
      <c r="AT643" s="28"/>
    </row>
    <row r="644" spans="33:46">
      <c r="AG644" s="26"/>
      <c r="AH644" s="26"/>
      <c r="AI644" s="26"/>
      <c r="AJ644" s="26"/>
      <c r="AK644" s="26"/>
      <c r="AL644" s="26"/>
      <c r="AT644" s="28"/>
    </row>
    <row r="645" spans="33:46">
      <c r="AG645" s="26"/>
      <c r="AH645" s="26"/>
      <c r="AI645" s="26"/>
      <c r="AJ645" s="26"/>
      <c r="AK645" s="26"/>
      <c r="AL645" s="26"/>
      <c r="AT645" s="28"/>
    </row>
    <row r="646" spans="33:46">
      <c r="AG646" s="26"/>
      <c r="AH646" s="26"/>
      <c r="AI646" s="26"/>
      <c r="AJ646" s="26"/>
      <c r="AK646" s="26"/>
      <c r="AL646" s="26"/>
      <c r="AT646" s="28"/>
    </row>
    <row r="647" spans="33:46">
      <c r="AG647" s="26"/>
      <c r="AH647" s="26"/>
      <c r="AI647" s="26"/>
      <c r="AJ647" s="26"/>
      <c r="AK647" s="26"/>
      <c r="AL647" s="26"/>
      <c r="AT647" s="28"/>
    </row>
    <row r="648" spans="33:46">
      <c r="AG648" s="26"/>
      <c r="AH648" s="26"/>
      <c r="AI648" s="26"/>
      <c r="AJ648" s="26"/>
      <c r="AK648" s="26"/>
      <c r="AL648" s="26"/>
      <c r="AT648" s="28"/>
    </row>
    <row r="649" spans="33:46">
      <c r="AG649" s="26"/>
      <c r="AH649" s="26"/>
      <c r="AI649" s="26"/>
      <c r="AJ649" s="26"/>
      <c r="AK649" s="26"/>
      <c r="AL649" s="26"/>
      <c r="AT649" s="28"/>
    </row>
    <row r="650" spans="33:46">
      <c r="AG650" s="26"/>
      <c r="AH650" s="26"/>
      <c r="AI650" s="26"/>
      <c r="AJ650" s="26"/>
      <c r="AK650" s="26"/>
      <c r="AL650" s="26"/>
      <c r="AT650" s="28"/>
    </row>
    <row r="651" spans="33:46">
      <c r="AG651" s="26"/>
      <c r="AH651" s="26"/>
      <c r="AI651" s="26"/>
      <c r="AJ651" s="26"/>
      <c r="AK651" s="26"/>
      <c r="AL651" s="26"/>
      <c r="AT651" s="28"/>
    </row>
    <row r="652" spans="33:46">
      <c r="AG652" s="26"/>
      <c r="AH652" s="26"/>
      <c r="AI652" s="26"/>
      <c r="AJ652" s="26"/>
      <c r="AK652" s="26"/>
      <c r="AL652" s="26"/>
      <c r="AT652" s="28"/>
    </row>
    <row r="653" spans="33:46">
      <c r="AG653" s="26"/>
      <c r="AH653" s="26"/>
      <c r="AI653" s="26"/>
      <c r="AJ653" s="26"/>
      <c r="AK653" s="26"/>
      <c r="AL653" s="26"/>
      <c r="AT653" s="28"/>
    </row>
    <row r="654" spans="33:46">
      <c r="AG654" s="26"/>
      <c r="AH654" s="26"/>
      <c r="AI654" s="26"/>
      <c r="AJ654" s="26"/>
      <c r="AK654" s="26"/>
      <c r="AL654" s="26"/>
      <c r="AT654" s="28"/>
    </row>
    <row r="655" spans="33:46">
      <c r="AG655" s="26"/>
      <c r="AH655" s="26"/>
      <c r="AI655" s="26"/>
      <c r="AJ655" s="26"/>
      <c r="AK655" s="26"/>
      <c r="AL655" s="26"/>
      <c r="AT655" s="28"/>
    </row>
    <row r="656" spans="33:46">
      <c r="AG656" s="26"/>
      <c r="AH656" s="26"/>
      <c r="AI656" s="26"/>
      <c r="AJ656" s="26"/>
      <c r="AK656" s="26"/>
      <c r="AL656" s="26"/>
      <c r="AT656" s="28"/>
    </row>
    <row r="657" spans="33:46">
      <c r="AG657" s="26"/>
      <c r="AH657" s="26"/>
      <c r="AI657" s="26"/>
      <c r="AJ657" s="26"/>
      <c r="AK657" s="26"/>
      <c r="AL657" s="26"/>
      <c r="AT657" s="28"/>
    </row>
    <row r="658" spans="33:46">
      <c r="AG658" s="26"/>
      <c r="AH658" s="26"/>
      <c r="AI658" s="26"/>
      <c r="AJ658" s="26"/>
      <c r="AK658" s="26"/>
      <c r="AL658" s="26"/>
      <c r="AT658" s="28"/>
    </row>
    <row r="659" spans="33:46">
      <c r="AG659" s="26"/>
      <c r="AH659" s="26"/>
      <c r="AI659" s="26"/>
      <c r="AJ659" s="26"/>
      <c r="AK659" s="26"/>
      <c r="AL659" s="26"/>
      <c r="AT659" s="28"/>
    </row>
    <row r="660" spans="33:46">
      <c r="AG660" s="26"/>
      <c r="AH660" s="26"/>
      <c r="AI660" s="26"/>
      <c r="AJ660" s="26"/>
      <c r="AK660" s="26"/>
      <c r="AL660" s="26"/>
      <c r="AT660" s="28"/>
    </row>
    <row r="661" spans="33:46">
      <c r="AG661" s="26"/>
      <c r="AH661" s="26"/>
      <c r="AI661" s="26"/>
      <c r="AJ661" s="26"/>
      <c r="AK661" s="26"/>
      <c r="AL661" s="26"/>
      <c r="AT661" s="28"/>
    </row>
    <row r="662" spans="33:46">
      <c r="AG662" s="26"/>
      <c r="AH662" s="26"/>
      <c r="AI662" s="26"/>
      <c r="AJ662" s="26"/>
      <c r="AK662" s="26"/>
      <c r="AL662" s="26"/>
      <c r="AT662" s="28"/>
    </row>
    <row r="663" spans="33:46">
      <c r="AG663" s="26"/>
      <c r="AH663" s="26"/>
      <c r="AI663" s="26"/>
      <c r="AJ663" s="26"/>
      <c r="AK663" s="26"/>
      <c r="AL663" s="26"/>
      <c r="AT663" s="28"/>
    </row>
    <row r="664" spans="33:46">
      <c r="AG664" s="26"/>
      <c r="AH664" s="26"/>
      <c r="AI664" s="26"/>
      <c r="AJ664" s="26"/>
      <c r="AK664" s="26"/>
      <c r="AL664" s="26"/>
      <c r="AT664" s="28"/>
    </row>
    <row r="665" spans="33:46">
      <c r="AG665" s="26"/>
      <c r="AH665" s="26"/>
      <c r="AI665" s="26"/>
      <c r="AJ665" s="26"/>
      <c r="AK665" s="26"/>
      <c r="AL665" s="26"/>
      <c r="AT665" s="28"/>
    </row>
    <row r="666" spans="33:46">
      <c r="AG666" s="26"/>
      <c r="AH666" s="26"/>
      <c r="AI666" s="26"/>
      <c r="AJ666" s="26"/>
      <c r="AK666" s="26"/>
      <c r="AL666" s="26"/>
      <c r="AT666" s="28"/>
    </row>
    <row r="667" spans="33:46">
      <c r="AG667" s="26"/>
      <c r="AH667" s="26"/>
      <c r="AI667" s="26"/>
      <c r="AJ667" s="26"/>
      <c r="AK667" s="26"/>
      <c r="AL667" s="26"/>
      <c r="AT667" s="28"/>
    </row>
    <row r="668" spans="33:46">
      <c r="AG668" s="26"/>
      <c r="AH668" s="26"/>
      <c r="AI668" s="26"/>
      <c r="AJ668" s="26"/>
      <c r="AK668" s="26"/>
      <c r="AL668" s="26"/>
      <c r="AT668" s="28"/>
    </row>
    <row r="669" spans="33:46">
      <c r="AG669" s="26"/>
      <c r="AH669" s="26"/>
      <c r="AI669" s="26"/>
      <c r="AJ669" s="26"/>
      <c r="AK669" s="26"/>
      <c r="AL669" s="26"/>
      <c r="AT669" s="28"/>
    </row>
    <row r="670" spans="33:46">
      <c r="AG670" s="26"/>
      <c r="AH670" s="26"/>
      <c r="AI670" s="26"/>
      <c r="AJ670" s="26"/>
      <c r="AK670" s="26"/>
      <c r="AL670" s="26"/>
      <c r="AT670" s="28"/>
    </row>
    <row r="671" spans="33:46">
      <c r="AG671" s="26"/>
      <c r="AH671" s="26"/>
      <c r="AI671" s="26"/>
      <c r="AJ671" s="26"/>
      <c r="AK671" s="26"/>
      <c r="AL671" s="26"/>
      <c r="AT671" s="28"/>
    </row>
    <row r="672" spans="33:46">
      <c r="AG672" s="26"/>
      <c r="AH672" s="26"/>
      <c r="AI672" s="26"/>
      <c r="AJ672" s="26"/>
      <c r="AK672" s="26"/>
      <c r="AL672" s="26"/>
      <c r="AT672" s="28"/>
    </row>
    <row r="673" spans="33:46">
      <c r="AG673" s="26"/>
      <c r="AH673" s="26"/>
      <c r="AI673" s="26"/>
      <c r="AJ673" s="26"/>
      <c r="AK673" s="26"/>
      <c r="AL673" s="26"/>
      <c r="AT673" s="28"/>
    </row>
    <row r="674" spans="33:46">
      <c r="AG674" s="26"/>
      <c r="AH674" s="26"/>
      <c r="AI674" s="26"/>
      <c r="AJ674" s="26"/>
      <c r="AK674" s="26"/>
      <c r="AL674" s="26"/>
      <c r="AT674" s="28"/>
    </row>
    <row r="675" spans="33:46">
      <c r="AG675" s="26"/>
      <c r="AH675" s="26"/>
      <c r="AI675" s="26"/>
      <c r="AJ675" s="26"/>
      <c r="AK675" s="26"/>
      <c r="AL675" s="26"/>
      <c r="AT675" s="28"/>
    </row>
    <row r="676" spans="33:46">
      <c r="AG676" s="26"/>
      <c r="AH676" s="26"/>
      <c r="AI676" s="26"/>
      <c r="AJ676" s="26"/>
      <c r="AK676" s="26"/>
      <c r="AL676" s="26"/>
      <c r="AT676" s="28"/>
    </row>
    <row r="677" spans="33:46">
      <c r="AG677" s="26"/>
      <c r="AH677" s="26"/>
      <c r="AI677" s="26"/>
      <c r="AJ677" s="26"/>
      <c r="AK677" s="26"/>
      <c r="AL677" s="26"/>
      <c r="AT677" s="28"/>
    </row>
    <row r="678" spans="33:46">
      <c r="AG678" s="26"/>
      <c r="AH678" s="26"/>
      <c r="AI678" s="26"/>
      <c r="AJ678" s="26"/>
      <c r="AK678" s="26"/>
      <c r="AL678" s="26"/>
      <c r="AT678" s="28"/>
    </row>
    <row r="679" spans="33:46">
      <c r="AG679" s="26"/>
      <c r="AH679" s="26"/>
      <c r="AI679" s="26"/>
      <c r="AJ679" s="26"/>
      <c r="AK679" s="26"/>
      <c r="AL679" s="26"/>
      <c r="AT679" s="28"/>
    </row>
    <row r="680" spans="33:46">
      <c r="AG680" s="26"/>
      <c r="AH680" s="26"/>
      <c r="AI680" s="26"/>
      <c r="AJ680" s="26"/>
      <c r="AK680" s="26"/>
      <c r="AL680" s="26"/>
      <c r="AT680" s="28"/>
    </row>
    <row r="681" spans="33:46">
      <c r="AG681" s="26"/>
      <c r="AH681" s="26"/>
      <c r="AI681" s="26"/>
      <c r="AJ681" s="26"/>
      <c r="AK681" s="26"/>
      <c r="AL681" s="26"/>
      <c r="AT681" s="28"/>
    </row>
    <row r="682" spans="33:46">
      <c r="AG682" s="26"/>
      <c r="AH682" s="26"/>
      <c r="AI682" s="26"/>
      <c r="AJ682" s="26"/>
      <c r="AK682" s="26"/>
      <c r="AL682" s="26"/>
      <c r="AT682" s="28"/>
    </row>
    <row r="683" spans="33:46">
      <c r="AG683" s="26"/>
      <c r="AH683" s="26"/>
      <c r="AI683" s="26"/>
      <c r="AJ683" s="26"/>
      <c r="AK683" s="26"/>
      <c r="AL683" s="26"/>
      <c r="AT683" s="28"/>
    </row>
    <row r="684" spans="33:46">
      <c r="AG684" s="26"/>
      <c r="AH684" s="26"/>
      <c r="AI684" s="26"/>
      <c r="AJ684" s="26"/>
      <c r="AK684" s="26"/>
      <c r="AL684" s="26"/>
      <c r="AT684" s="28"/>
    </row>
    <row r="685" spans="33:46">
      <c r="AG685" s="26"/>
      <c r="AH685" s="26"/>
      <c r="AI685" s="26"/>
      <c r="AJ685" s="26"/>
      <c r="AK685" s="26"/>
      <c r="AL685" s="26"/>
      <c r="AT685" s="28"/>
    </row>
    <row r="686" spans="33:46">
      <c r="AG686" s="26"/>
      <c r="AH686" s="26"/>
      <c r="AI686" s="26"/>
      <c r="AJ686" s="26"/>
      <c r="AK686" s="26"/>
      <c r="AL686" s="26"/>
      <c r="AT686" s="28"/>
    </row>
    <row r="687" spans="33:46">
      <c r="AG687" s="26"/>
      <c r="AH687" s="26"/>
      <c r="AI687" s="26"/>
      <c r="AJ687" s="26"/>
      <c r="AK687" s="26"/>
      <c r="AL687" s="26"/>
      <c r="AT687" s="28"/>
    </row>
    <row r="688" spans="33:46">
      <c r="AG688" s="26"/>
      <c r="AH688" s="26"/>
      <c r="AI688" s="26"/>
      <c r="AJ688" s="26"/>
      <c r="AK688" s="26"/>
      <c r="AL688" s="26"/>
      <c r="AT688" s="28"/>
    </row>
    <row r="689" spans="33:46">
      <c r="AG689" s="26"/>
      <c r="AH689" s="26"/>
      <c r="AI689" s="26"/>
      <c r="AJ689" s="26"/>
      <c r="AK689" s="26"/>
      <c r="AL689" s="26"/>
      <c r="AT689" s="28"/>
    </row>
    <row r="690" spans="33:46">
      <c r="AG690" s="26"/>
      <c r="AH690" s="26"/>
      <c r="AI690" s="26"/>
      <c r="AJ690" s="26"/>
      <c r="AK690" s="26"/>
      <c r="AL690" s="26"/>
      <c r="AT690" s="28"/>
    </row>
    <row r="691" spans="33:46">
      <c r="AG691" s="26"/>
      <c r="AH691" s="26"/>
      <c r="AI691" s="26"/>
      <c r="AJ691" s="26"/>
      <c r="AK691" s="26"/>
      <c r="AL691" s="26"/>
      <c r="AT691" s="28"/>
    </row>
    <row r="692" spans="33:46">
      <c r="AG692" s="26"/>
      <c r="AH692" s="26"/>
      <c r="AI692" s="26"/>
      <c r="AJ692" s="26"/>
      <c r="AK692" s="26"/>
      <c r="AL692" s="26"/>
      <c r="AT692" s="28"/>
    </row>
    <row r="693" spans="33:46">
      <c r="AG693" s="26"/>
      <c r="AH693" s="26"/>
      <c r="AI693" s="26"/>
      <c r="AJ693" s="26"/>
      <c r="AK693" s="26"/>
      <c r="AL693" s="26"/>
      <c r="AT693" s="28"/>
    </row>
    <row r="694" spans="33:46">
      <c r="AG694" s="26"/>
      <c r="AH694" s="26"/>
      <c r="AI694" s="26"/>
      <c r="AJ694" s="26"/>
      <c r="AK694" s="26"/>
      <c r="AL694" s="26"/>
      <c r="AT694" s="28"/>
    </row>
    <row r="695" spans="33:46">
      <c r="AG695" s="26"/>
      <c r="AH695" s="26"/>
      <c r="AI695" s="26"/>
      <c r="AJ695" s="26"/>
      <c r="AK695" s="26"/>
      <c r="AL695" s="26"/>
      <c r="AT695" s="28"/>
    </row>
    <row r="696" spans="33:46">
      <c r="AG696" s="26"/>
      <c r="AH696" s="26"/>
      <c r="AI696" s="26"/>
      <c r="AJ696" s="26"/>
      <c r="AK696" s="26"/>
      <c r="AL696" s="26"/>
      <c r="AT696" s="28"/>
    </row>
    <row r="697" spans="33:46">
      <c r="AG697" s="26"/>
      <c r="AH697" s="26"/>
      <c r="AI697" s="26"/>
      <c r="AJ697" s="26"/>
      <c r="AK697" s="26"/>
      <c r="AL697" s="26"/>
      <c r="AT697" s="28"/>
    </row>
    <row r="698" spans="33:46">
      <c r="AG698" s="26"/>
      <c r="AH698" s="26"/>
      <c r="AI698" s="26"/>
      <c r="AJ698" s="26"/>
      <c r="AK698" s="26"/>
      <c r="AL698" s="26"/>
      <c r="AT698" s="28"/>
    </row>
    <row r="699" spans="33:46">
      <c r="AG699" s="26"/>
      <c r="AH699" s="26"/>
      <c r="AI699" s="26"/>
      <c r="AJ699" s="26"/>
      <c r="AK699" s="26"/>
      <c r="AL699" s="26"/>
      <c r="AT699" s="28"/>
    </row>
    <row r="700" spans="33:46">
      <c r="AG700" s="26"/>
      <c r="AH700" s="26"/>
      <c r="AI700" s="26"/>
      <c r="AJ700" s="26"/>
      <c r="AK700" s="26"/>
      <c r="AL700" s="26"/>
      <c r="AT700" s="28"/>
    </row>
    <row r="701" spans="33:46">
      <c r="AG701" s="26"/>
      <c r="AH701" s="26"/>
      <c r="AI701" s="26"/>
      <c r="AJ701" s="26"/>
      <c r="AK701" s="26"/>
      <c r="AL701" s="26"/>
      <c r="AT701" s="28"/>
    </row>
    <row r="702" spans="33:46">
      <c r="AG702" s="26"/>
      <c r="AH702" s="26"/>
      <c r="AI702" s="26"/>
      <c r="AJ702" s="26"/>
      <c r="AK702" s="26"/>
      <c r="AL702" s="26"/>
      <c r="AT702" s="28"/>
    </row>
    <row r="703" spans="33:46">
      <c r="AG703" s="26"/>
      <c r="AH703" s="26"/>
      <c r="AI703" s="26"/>
      <c r="AJ703" s="26"/>
      <c r="AK703" s="26"/>
      <c r="AL703" s="26"/>
      <c r="AT703" s="28"/>
    </row>
    <row r="704" spans="33:46">
      <c r="AG704" s="26"/>
      <c r="AH704" s="26"/>
      <c r="AI704" s="26"/>
      <c r="AJ704" s="26"/>
      <c r="AK704" s="26"/>
      <c r="AL704" s="26"/>
      <c r="AT704" s="28"/>
    </row>
    <row r="705" spans="33:46">
      <c r="AG705" s="26"/>
      <c r="AH705" s="26"/>
      <c r="AI705" s="26"/>
      <c r="AJ705" s="26"/>
      <c r="AK705" s="26"/>
      <c r="AL705" s="26"/>
      <c r="AT705" s="28"/>
    </row>
    <row r="706" spans="33:46">
      <c r="AG706" s="26"/>
      <c r="AH706" s="26"/>
      <c r="AI706" s="26"/>
      <c r="AJ706" s="26"/>
      <c r="AK706" s="26"/>
      <c r="AL706" s="26"/>
      <c r="AT706" s="28"/>
    </row>
    <row r="707" spans="33:46">
      <c r="AG707" s="26"/>
      <c r="AH707" s="26"/>
      <c r="AI707" s="26"/>
      <c r="AJ707" s="26"/>
      <c r="AK707" s="26"/>
      <c r="AL707" s="26"/>
      <c r="AT707" s="28"/>
    </row>
    <row r="708" spans="33:46">
      <c r="AG708" s="26"/>
      <c r="AH708" s="26"/>
      <c r="AI708" s="26"/>
      <c r="AJ708" s="26"/>
      <c r="AK708" s="26"/>
      <c r="AL708" s="26"/>
      <c r="AT708" s="28"/>
    </row>
    <row r="709" spans="33:46">
      <c r="AG709" s="26"/>
      <c r="AH709" s="26"/>
      <c r="AI709" s="26"/>
      <c r="AJ709" s="26"/>
      <c r="AK709" s="26"/>
      <c r="AL709" s="26"/>
      <c r="AT709" s="28"/>
    </row>
    <row r="710" spans="33:46">
      <c r="AG710" s="26"/>
      <c r="AH710" s="26"/>
      <c r="AI710" s="26"/>
      <c r="AJ710" s="26"/>
      <c r="AK710" s="26"/>
      <c r="AL710" s="26"/>
      <c r="AT710" s="28"/>
    </row>
    <row r="711" spans="33:46">
      <c r="AG711" s="26"/>
      <c r="AH711" s="26"/>
      <c r="AI711" s="26"/>
      <c r="AJ711" s="26"/>
      <c r="AK711" s="26"/>
      <c r="AL711" s="26"/>
      <c r="AT711" s="28"/>
    </row>
    <row r="712" spans="33:46">
      <c r="AG712" s="26"/>
      <c r="AH712" s="26"/>
      <c r="AI712" s="26"/>
      <c r="AJ712" s="26"/>
      <c r="AK712" s="26"/>
      <c r="AL712" s="26"/>
      <c r="AT712" s="28"/>
    </row>
    <row r="713" spans="33:46">
      <c r="AG713" s="26"/>
      <c r="AH713" s="26"/>
      <c r="AI713" s="26"/>
      <c r="AJ713" s="26"/>
      <c r="AK713" s="26"/>
      <c r="AL713" s="26"/>
      <c r="AT713" s="28"/>
    </row>
    <row r="714" spans="33:46">
      <c r="AG714" s="26"/>
      <c r="AH714" s="26"/>
      <c r="AI714" s="26"/>
      <c r="AJ714" s="26"/>
      <c r="AK714" s="26"/>
      <c r="AL714" s="26"/>
      <c r="AT714" s="28"/>
    </row>
    <row r="715" spans="33:46">
      <c r="AG715" s="26"/>
      <c r="AH715" s="26"/>
      <c r="AI715" s="26"/>
      <c r="AJ715" s="26"/>
      <c r="AK715" s="26"/>
      <c r="AL715" s="26"/>
      <c r="AT715" s="28"/>
    </row>
    <row r="716" spans="33:46">
      <c r="AG716" s="26"/>
      <c r="AH716" s="26"/>
      <c r="AI716" s="26"/>
      <c r="AJ716" s="26"/>
      <c r="AK716" s="26"/>
      <c r="AL716" s="26"/>
      <c r="AT716" s="28"/>
    </row>
    <row r="717" spans="33:46">
      <c r="AG717" s="26"/>
      <c r="AH717" s="26"/>
      <c r="AI717" s="26"/>
      <c r="AJ717" s="26"/>
      <c r="AK717" s="26"/>
      <c r="AL717" s="26"/>
      <c r="AT717" s="28"/>
    </row>
    <row r="718" spans="33:46">
      <c r="AG718" s="26"/>
      <c r="AH718" s="26"/>
      <c r="AI718" s="26"/>
      <c r="AJ718" s="26"/>
      <c r="AK718" s="26"/>
      <c r="AL718" s="26"/>
      <c r="AT718" s="28"/>
    </row>
    <row r="719" spans="33:46">
      <c r="AG719" s="26"/>
      <c r="AH719" s="26"/>
      <c r="AI719" s="26"/>
      <c r="AJ719" s="26"/>
      <c r="AK719" s="26"/>
      <c r="AL719" s="26"/>
      <c r="AT719" s="28"/>
    </row>
    <row r="720" spans="33:46">
      <c r="AG720" s="26"/>
      <c r="AH720" s="26"/>
      <c r="AI720" s="26"/>
      <c r="AJ720" s="26"/>
      <c r="AK720" s="26"/>
      <c r="AL720" s="26"/>
      <c r="AT720" s="28"/>
    </row>
    <row r="721" spans="33:46">
      <c r="AG721" s="26"/>
      <c r="AH721" s="26"/>
      <c r="AI721" s="26"/>
      <c r="AJ721" s="26"/>
      <c r="AK721" s="26"/>
      <c r="AL721" s="26"/>
      <c r="AT721" s="28"/>
    </row>
    <row r="722" spans="33:46">
      <c r="AG722" s="26"/>
      <c r="AH722" s="26"/>
      <c r="AI722" s="26"/>
      <c r="AJ722" s="26"/>
      <c r="AK722" s="26"/>
      <c r="AL722" s="26"/>
      <c r="AT722" s="28"/>
    </row>
    <row r="723" spans="33:46">
      <c r="AG723" s="26"/>
      <c r="AH723" s="26"/>
      <c r="AI723" s="26"/>
      <c r="AJ723" s="26"/>
      <c r="AK723" s="26"/>
      <c r="AL723" s="26"/>
      <c r="AT723" s="28"/>
    </row>
    <row r="724" spans="33:46">
      <c r="AG724" s="26"/>
      <c r="AH724" s="26"/>
      <c r="AI724" s="26"/>
      <c r="AJ724" s="26"/>
      <c r="AK724" s="26"/>
      <c r="AL724" s="26"/>
      <c r="AT724" s="28"/>
    </row>
    <row r="725" spans="33:46">
      <c r="AG725" s="26"/>
      <c r="AH725" s="26"/>
      <c r="AI725" s="26"/>
      <c r="AJ725" s="26"/>
      <c r="AK725" s="26"/>
      <c r="AL725" s="26"/>
      <c r="AT725" s="28"/>
    </row>
    <row r="726" spans="33:46">
      <c r="AG726" s="26"/>
      <c r="AH726" s="26"/>
      <c r="AI726" s="26"/>
      <c r="AJ726" s="26"/>
      <c r="AK726" s="26"/>
      <c r="AL726" s="26"/>
      <c r="AT726" s="28"/>
    </row>
    <row r="727" spans="33:46">
      <c r="AG727" s="26"/>
      <c r="AH727" s="26"/>
      <c r="AI727" s="26"/>
      <c r="AJ727" s="26"/>
      <c r="AK727" s="26"/>
      <c r="AL727" s="26"/>
      <c r="AT727" s="28"/>
    </row>
    <row r="728" spans="33:46">
      <c r="AG728" s="26"/>
      <c r="AH728" s="26"/>
      <c r="AI728" s="26"/>
      <c r="AJ728" s="26"/>
      <c r="AK728" s="26"/>
      <c r="AL728" s="26"/>
      <c r="AT728" s="28"/>
    </row>
    <row r="729" spans="33:46">
      <c r="AG729" s="26"/>
      <c r="AH729" s="26"/>
      <c r="AI729" s="26"/>
      <c r="AJ729" s="26"/>
      <c r="AK729" s="26"/>
      <c r="AL729" s="26"/>
      <c r="AT729" s="28"/>
    </row>
    <row r="730" spans="33:46">
      <c r="AG730" s="26"/>
      <c r="AH730" s="26"/>
      <c r="AI730" s="26"/>
      <c r="AJ730" s="26"/>
      <c r="AK730" s="26"/>
      <c r="AL730" s="26"/>
      <c r="AT730" s="28"/>
    </row>
    <row r="731" spans="33:46">
      <c r="AG731" s="26"/>
      <c r="AH731" s="26"/>
      <c r="AI731" s="26"/>
      <c r="AJ731" s="26"/>
      <c r="AK731" s="26"/>
      <c r="AL731" s="26"/>
      <c r="AT731" s="28"/>
    </row>
    <row r="732" spans="33:46">
      <c r="AG732" s="26"/>
      <c r="AH732" s="26"/>
      <c r="AI732" s="26"/>
      <c r="AJ732" s="26"/>
      <c r="AK732" s="26"/>
      <c r="AL732" s="26"/>
      <c r="AT732" s="28"/>
    </row>
    <row r="733" spans="33:46">
      <c r="AG733" s="26"/>
      <c r="AH733" s="26"/>
      <c r="AI733" s="26"/>
      <c r="AJ733" s="26"/>
      <c r="AK733" s="26"/>
      <c r="AL733" s="26"/>
      <c r="AT733" s="28"/>
    </row>
    <row r="734" spans="33:46">
      <c r="AG734" s="26"/>
      <c r="AH734" s="26"/>
      <c r="AI734" s="26"/>
      <c r="AJ734" s="26"/>
      <c r="AK734" s="26"/>
      <c r="AL734" s="26"/>
      <c r="AT734" s="28"/>
    </row>
    <row r="735" spans="33:46">
      <c r="AG735" s="26"/>
      <c r="AH735" s="26"/>
      <c r="AI735" s="26"/>
      <c r="AJ735" s="26"/>
      <c r="AK735" s="26"/>
      <c r="AL735" s="26"/>
      <c r="AT735" s="28"/>
    </row>
    <row r="736" spans="33:46">
      <c r="AG736" s="26"/>
      <c r="AH736" s="26"/>
      <c r="AI736" s="26"/>
      <c r="AJ736" s="26"/>
      <c r="AK736" s="26"/>
      <c r="AL736" s="26"/>
      <c r="AT736" s="28"/>
    </row>
    <row r="737" spans="33:46">
      <c r="AG737" s="26"/>
      <c r="AH737" s="26"/>
      <c r="AI737" s="26"/>
      <c r="AJ737" s="26"/>
      <c r="AK737" s="26"/>
      <c r="AL737" s="26"/>
      <c r="AT737" s="28"/>
    </row>
    <row r="738" spans="33:46">
      <c r="AG738" s="26"/>
      <c r="AH738" s="26"/>
      <c r="AI738" s="26"/>
      <c r="AJ738" s="26"/>
      <c r="AK738" s="26"/>
      <c r="AL738" s="26"/>
      <c r="AT738" s="28"/>
    </row>
    <row r="739" spans="33:46">
      <c r="AG739" s="26"/>
      <c r="AH739" s="26"/>
      <c r="AI739" s="26"/>
      <c r="AJ739" s="26"/>
      <c r="AK739" s="26"/>
      <c r="AL739" s="26"/>
      <c r="AT739" s="28"/>
    </row>
    <row r="740" spans="33:46">
      <c r="AG740" s="26"/>
      <c r="AH740" s="26"/>
      <c r="AI740" s="26"/>
      <c r="AJ740" s="26"/>
      <c r="AK740" s="26"/>
      <c r="AL740" s="26"/>
      <c r="AT740" s="28"/>
    </row>
    <row r="741" spans="33:46">
      <c r="AG741" s="26"/>
      <c r="AH741" s="26"/>
      <c r="AI741" s="26"/>
      <c r="AJ741" s="26"/>
      <c r="AK741" s="26"/>
      <c r="AL741" s="26"/>
      <c r="AT741" s="28"/>
    </row>
    <row r="742" spans="33:46">
      <c r="AG742" s="26"/>
      <c r="AH742" s="26"/>
      <c r="AI742" s="26"/>
      <c r="AJ742" s="26"/>
      <c r="AK742" s="26"/>
      <c r="AL742" s="26"/>
      <c r="AT742" s="28"/>
    </row>
    <row r="743" spans="33:46">
      <c r="AG743" s="26"/>
      <c r="AH743" s="26"/>
      <c r="AI743" s="26"/>
      <c r="AJ743" s="26"/>
      <c r="AK743" s="26"/>
      <c r="AL743" s="26"/>
      <c r="AT743" s="28"/>
    </row>
    <row r="744" spans="33:46">
      <c r="AG744" s="26"/>
      <c r="AH744" s="26"/>
      <c r="AI744" s="26"/>
      <c r="AJ744" s="26"/>
      <c r="AK744" s="26"/>
      <c r="AL744" s="26"/>
      <c r="AT744" s="28"/>
    </row>
    <row r="745" spans="33:46">
      <c r="AG745" s="26"/>
      <c r="AH745" s="26"/>
      <c r="AI745" s="26"/>
      <c r="AJ745" s="26"/>
      <c r="AK745" s="26"/>
      <c r="AL745" s="26"/>
      <c r="AT745" s="28"/>
    </row>
    <row r="746" spans="33:46">
      <c r="AG746" s="26"/>
      <c r="AH746" s="26"/>
      <c r="AI746" s="26"/>
      <c r="AJ746" s="26"/>
      <c r="AK746" s="26"/>
      <c r="AL746" s="26"/>
      <c r="AT746" s="28"/>
    </row>
    <row r="747" spans="33:46">
      <c r="AG747" s="26"/>
      <c r="AH747" s="26"/>
      <c r="AI747" s="26"/>
      <c r="AJ747" s="26"/>
      <c r="AK747" s="26"/>
      <c r="AL747" s="26"/>
      <c r="AT747" s="28"/>
    </row>
    <row r="748" spans="33:46">
      <c r="AG748" s="26"/>
      <c r="AH748" s="26"/>
      <c r="AI748" s="26"/>
      <c r="AJ748" s="26"/>
      <c r="AK748" s="26"/>
      <c r="AL748" s="26"/>
      <c r="AT748" s="28"/>
    </row>
    <row r="749" spans="33:46">
      <c r="AG749" s="26"/>
      <c r="AH749" s="26"/>
      <c r="AI749" s="26"/>
      <c r="AJ749" s="26"/>
      <c r="AK749" s="26"/>
      <c r="AL749" s="26"/>
      <c r="AT749" s="28"/>
    </row>
    <row r="750" spans="33:46">
      <c r="AG750" s="26"/>
      <c r="AH750" s="26"/>
      <c r="AI750" s="26"/>
      <c r="AJ750" s="26"/>
      <c r="AK750" s="26"/>
      <c r="AL750" s="26"/>
      <c r="AT750" s="28"/>
    </row>
    <row r="751" spans="33:46">
      <c r="AG751" s="26"/>
      <c r="AH751" s="26"/>
      <c r="AI751" s="26"/>
      <c r="AJ751" s="26"/>
      <c r="AK751" s="26"/>
      <c r="AL751" s="26"/>
      <c r="AT751" s="28"/>
    </row>
    <row r="752" spans="33:46">
      <c r="AG752" s="26"/>
      <c r="AH752" s="26"/>
      <c r="AI752" s="26"/>
      <c r="AJ752" s="26"/>
      <c r="AK752" s="26"/>
      <c r="AL752" s="26"/>
      <c r="AT752" s="28"/>
    </row>
    <row r="753" spans="33:46">
      <c r="AG753" s="26"/>
      <c r="AH753" s="26"/>
      <c r="AI753" s="26"/>
      <c r="AJ753" s="26"/>
      <c r="AK753" s="26"/>
      <c r="AL753" s="26"/>
      <c r="AT753" s="28"/>
    </row>
    <row r="754" spans="33:46">
      <c r="AG754" s="26"/>
      <c r="AH754" s="26"/>
      <c r="AI754" s="26"/>
      <c r="AJ754" s="26"/>
      <c r="AK754" s="26"/>
      <c r="AL754" s="26"/>
      <c r="AT754" s="28"/>
    </row>
    <row r="755" spans="33:46">
      <c r="AG755" s="26"/>
      <c r="AH755" s="26"/>
      <c r="AI755" s="26"/>
      <c r="AJ755" s="26"/>
      <c r="AK755" s="26"/>
      <c r="AL755" s="26"/>
      <c r="AT755" s="28"/>
    </row>
    <row r="756" spans="33:46">
      <c r="AG756" s="26"/>
      <c r="AH756" s="26"/>
      <c r="AI756" s="26"/>
      <c r="AJ756" s="26"/>
      <c r="AK756" s="26"/>
      <c r="AL756" s="26"/>
      <c r="AT756" s="28"/>
    </row>
    <row r="757" spans="33:46">
      <c r="AG757" s="26"/>
      <c r="AH757" s="26"/>
      <c r="AI757" s="26"/>
      <c r="AJ757" s="26"/>
      <c r="AK757" s="26"/>
      <c r="AL757" s="26"/>
      <c r="AT757" s="28"/>
    </row>
    <row r="758" spans="33:46">
      <c r="AG758" s="26"/>
      <c r="AH758" s="26"/>
      <c r="AI758" s="26"/>
      <c r="AJ758" s="26"/>
      <c r="AK758" s="26"/>
      <c r="AL758" s="26"/>
      <c r="AT758" s="28"/>
    </row>
    <row r="759" spans="33:46">
      <c r="AG759" s="26"/>
      <c r="AH759" s="26"/>
      <c r="AI759" s="26"/>
      <c r="AJ759" s="26"/>
      <c r="AK759" s="26"/>
      <c r="AL759" s="26"/>
      <c r="AT759" s="28"/>
    </row>
    <row r="760" spans="33:46">
      <c r="AG760" s="26"/>
      <c r="AH760" s="26"/>
      <c r="AI760" s="26"/>
      <c r="AJ760" s="26"/>
      <c r="AK760" s="26"/>
      <c r="AL760" s="26"/>
      <c r="AT760" s="28"/>
    </row>
    <row r="761" spans="33:46">
      <c r="AG761" s="26"/>
      <c r="AH761" s="26"/>
      <c r="AI761" s="26"/>
      <c r="AJ761" s="26"/>
      <c r="AK761" s="26"/>
      <c r="AL761" s="26"/>
      <c r="AT761" s="28"/>
    </row>
    <row r="762" spans="33:46">
      <c r="AG762" s="26"/>
      <c r="AH762" s="26"/>
      <c r="AI762" s="26"/>
      <c r="AJ762" s="26"/>
      <c r="AK762" s="26"/>
      <c r="AL762" s="26"/>
      <c r="AT762" s="28"/>
    </row>
    <row r="763" spans="33:46">
      <c r="AG763" s="26"/>
      <c r="AH763" s="26"/>
      <c r="AI763" s="26"/>
      <c r="AJ763" s="26"/>
      <c r="AK763" s="26"/>
      <c r="AL763" s="26"/>
      <c r="AT763" s="28"/>
    </row>
    <row r="764" spans="33:46">
      <c r="AG764" s="26"/>
      <c r="AH764" s="26"/>
      <c r="AI764" s="26"/>
      <c r="AJ764" s="26"/>
      <c r="AK764" s="26"/>
      <c r="AL764" s="26"/>
      <c r="AT764" s="28"/>
    </row>
    <row r="765" spans="33:46">
      <c r="AG765" s="26"/>
      <c r="AH765" s="26"/>
      <c r="AI765" s="26"/>
      <c r="AJ765" s="26"/>
      <c r="AK765" s="26"/>
      <c r="AL765" s="26"/>
      <c r="AT765" s="28"/>
    </row>
    <row r="766" spans="33:46">
      <c r="AG766" s="26"/>
      <c r="AH766" s="26"/>
      <c r="AI766" s="26"/>
      <c r="AJ766" s="26"/>
      <c r="AK766" s="26"/>
      <c r="AL766" s="26"/>
      <c r="AT766" s="28"/>
    </row>
    <row r="767" spans="33:46">
      <c r="AG767" s="26"/>
      <c r="AH767" s="26"/>
      <c r="AI767" s="26"/>
      <c r="AJ767" s="26"/>
      <c r="AK767" s="26"/>
      <c r="AL767" s="26"/>
      <c r="AT767" s="28"/>
    </row>
    <row r="768" spans="33:46">
      <c r="AG768" s="26"/>
      <c r="AH768" s="26"/>
      <c r="AI768" s="26"/>
      <c r="AJ768" s="26"/>
      <c r="AK768" s="26"/>
      <c r="AL768" s="26"/>
      <c r="AT768" s="28"/>
    </row>
    <row r="769" spans="33:46">
      <c r="AG769" s="26"/>
      <c r="AH769" s="26"/>
      <c r="AI769" s="26"/>
      <c r="AJ769" s="26"/>
      <c r="AK769" s="26"/>
      <c r="AL769" s="26"/>
      <c r="AT769" s="28"/>
    </row>
    <row r="770" spans="33:46">
      <c r="AG770" s="26"/>
      <c r="AH770" s="26"/>
      <c r="AI770" s="26"/>
      <c r="AJ770" s="26"/>
      <c r="AK770" s="26"/>
      <c r="AL770" s="26"/>
      <c r="AT770" s="28"/>
    </row>
    <row r="771" spans="33:46">
      <c r="AG771" s="26"/>
      <c r="AH771" s="26"/>
      <c r="AI771" s="26"/>
      <c r="AJ771" s="26"/>
      <c r="AK771" s="26"/>
      <c r="AL771" s="26"/>
      <c r="AT771" s="28"/>
    </row>
    <row r="772" spans="33:46">
      <c r="AG772" s="26"/>
      <c r="AH772" s="26"/>
      <c r="AI772" s="26"/>
      <c r="AJ772" s="26"/>
      <c r="AK772" s="26"/>
      <c r="AL772" s="26"/>
      <c r="AT772" s="28"/>
    </row>
    <row r="773" spans="33:46">
      <c r="AG773" s="26"/>
      <c r="AH773" s="26"/>
      <c r="AI773" s="26"/>
      <c r="AJ773" s="26"/>
      <c r="AK773" s="26"/>
      <c r="AL773" s="26"/>
      <c r="AT773" s="28"/>
    </row>
    <row r="774" spans="33:46">
      <c r="AG774" s="26"/>
      <c r="AH774" s="26"/>
      <c r="AI774" s="26"/>
      <c r="AJ774" s="26"/>
      <c r="AK774" s="26"/>
      <c r="AL774" s="26"/>
      <c r="AT774" s="28"/>
    </row>
    <row r="775" spans="33:46">
      <c r="AG775" s="26"/>
      <c r="AH775" s="26"/>
      <c r="AI775" s="26"/>
      <c r="AJ775" s="26"/>
      <c r="AK775" s="26"/>
      <c r="AL775" s="26"/>
      <c r="AT775" s="28"/>
    </row>
    <row r="776" spans="33:46">
      <c r="AG776" s="26"/>
      <c r="AH776" s="26"/>
      <c r="AI776" s="26"/>
      <c r="AJ776" s="26"/>
      <c r="AK776" s="26"/>
      <c r="AL776" s="26"/>
      <c r="AT776" s="28"/>
    </row>
    <row r="777" spans="33:46">
      <c r="AG777" s="26"/>
      <c r="AH777" s="26"/>
      <c r="AI777" s="26"/>
      <c r="AJ777" s="26"/>
      <c r="AK777" s="26"/>
      <c r="AL777" s="26"/>
      <c r="AT777" s="28"/>
    </row>
    <row r="778" spans="33:46">
      <c r="AG778" s="26"/>
      <c r="AH778" s="26"/>
      <c r="AI778" s="26"/>
      <c r="AJ778" s="26"/>
      <c r="AK778" s="26"/>
      <c r="AL778" s="26"/>
      <c r="AT778" s="28"/>
    </row>
    <row r="779" spans="33:46">
      <c r="AG779" s="26"/>
      <c r="AH779" s="26"/>
      <c r="AI779" s="26"/>
      <c r="AJ779" s="26"/>
      <c r="AK779" s="26"/>
      <c r="AL779" s="26"/>
      <c r="AT779" s="28"/>
    </row>
    <row r="780" spans="33:46">
      <c r="AG780" s="26"/>
      <c r="AH780" s="26"/>
      <c r="AI780" s="26"/>
      <c r="AJ780" s="26"/>
      <c r="AK780" s="26"/>
      <c r="AL780" s="26"/>
      <c r="AT780" s="28"/>
    </row>
    <row r="781" spans="33:46">
      <c r="AG781" s="26"/>
      <c r="AH781" s="26"/>
      <c r="AI781" s="26"/>
      <c r="AJ781" s="26"/>
      <c r="AK781" s="26"/>
      <c r="AL781" s="26"/>
      <c r="AT781" s="28"/>
    </row>
    <row r="782" spans="33:46">
      <c r="AG782" s="26"/>
      <c r="AH782" s="26"/>
      <c r="AI782" s="26"/>
      <c r="AJ782" s="26"/>
      <c r="AK782" s="26"/>
      <c r="AL782" s="26"/>
      <c r="AT782" s="28"/>
    </row>
    <row r="783" spans="33:46">
      <c r="AG783" s="26"/>
      <c r="AH783" s="26"/>
      <c r="AI783" s="26"/>
      <c r="AJ783" s="26"/>
      <c r="AK783" s="26"/>
      <c r="AL783" s="26"/>
      <c r="AT783" s="28"/>
    </row>
    <row r="784" spans="33:46">
      <c r="AG784" s="26"/>
      <c r="AH784" s="26"/>
      <c r="AI784" s="26"/>
      <c r="AJ784" s="26"/>
      <c r="AK784" s="26"/>
      <c r="AL784" s="26"/>
      <c r="AT784" s="28"/>
    </row>
    <row r="785" spans="33:46">
      <c r="AG785" s="26"/>
      <c r="AH785" s="26"/>
      <c r="AI785" s="26"/>
      <c r="AJ785" s="26"/>
      <c r="AK785" s="26"/>
      <c r="AL785" s="26"/>
      <c r="AT785" s="28"/>
    </row>
    <row r="786" spans="33:46">
      <c r="AG786" s="26"/>
      <c r="AH786" s="26"/>
      <c r="AI786" s="26"/>
      <c r="AJ786" s="26"/>
      <c r="AK786" s="26"/>
      <c r="AL786" s="26"/>
      <c r="AT786" s="28"/>
    </row>
    <row r="787" spans="33:46">
      <c r="AG787" s="26"/>
      <c r="AH787" s="26"/>
      <c r="AI787" s="26"/>
      <c r="AJ787" s="26"/>
      <c r="AK787" s="26"/>
      <c r="AL787" s="26"/>
      <c r="AT787" s="28"/>
    </row>
    <row r="788" spans="33:46">
      <c r="AG788" s="26"/>
      <c r="AH788" s="26"/>
      <c r="AI788" s="26"/>
      <c r="AJ788" s="26"/>
      <c r="AK788" s="26"/>
      <c r="AL788" s="26"/>
      <c r="AT788" s="28"/>
    </row>
    <row r="789" spans="33:46">
      <c r="AG789" s="26"/>
      <c r="AH789" s="26"/>
      <c r="AI789" s="26"/>
      <c r="AJ789" s="26"/>
      <c r="AK789" s="26"/>
      <c r="AL789" s="26"/>
      <c r="AT789" s="28"/>
    </row>
    <row r="790" spans="33:46">
      <c r="AG790" s="26"/>
      <c r="AH790" s="26"/>
      <c r="AI790" s="26"/>
      <c r="AJ790" s="26"/>
      <c r="AK790" s="26"/>
      <c r="AL790" s="26"/>
      <c r="AT790" s="28"/>
    </row>
    <row r="791" spans="33:46">
      <c r="AG791" s="26"/>
      <c r="AH791" s="26"/>
      <c r="AI791" s="26"/>
      <c r="AJ791" s="26"/>
      <c r="AK791" s="26"/>
      <c r="AL791" s="26"/>
      <c r="AT791" s="28"/>
    </row>
    <row r="792" spans="33:46">
      <c r="AG792" s="26"/>
      <c r="AH792" s="26"/>
      <c r="AI792" s="26"/>
      <c r="AJ792" s="26"/>
      <c r="AK792" s="26"/>
      <c r="AL792" s="26"/>
      <c r="AT792" s="28"/>
    </row>
    <row r="793" spans="33:46">
      <c r="AG793" s="26"/>
      <c r="AH793" s="26"/>
      <c r="AI793" s="26"/>
      <c r="AJ793" s="26"/>
      <c r="AK793" s="26"/>
      <c r="AL793" s="26"/>
      <c r="AT793" s="28"/>
    </row>
    <row r="794" spans="33:46">
      <c r="AG794" s="26"/>
      <c r="AH794" s="26"/>
      <c r="AI794" s="26"/>
      <c r="AJ794" s="26"/>
      <c r="AK794" s="26"/>
      <c r="AL794" s="26"/>
      <c r="AT794" s="28"/>
    </row>
    <row r="795" spans="33:46">
      <c r="AG795" s="26"/>
      <c r="AH795" s="26"/>
      <c r="AI795" s="26"/>
      <c r="AJ795" s="26"/>
      <c r="AK795" s="26"/>
      <c r="AL795" s="26"/>
      <c r="AT795" s="28"/>
    </row>
    <row r="796" spans="33:46">
      <c r="AG796" s="26"/>
      <c r="AH796" s="26"/>
      <c r="AI796" s="26"/>
      <c r="AJ796" s="26"/>
      <c r="AK796" s="26"/>
      <c r="AL796" s="26"/>
      <c r="AT796" s="28"/>
    </row>
    <row r="797" spans="33:46">
      <c r="AG797" s="26"/>
      <c r="AH797" s="26"/>
      <c r="AI797" s="26"/>
      <c r="AJ797" s="26"/>
      <c r="AK797" s="26"/>
      <c r="AL797" s="26"/>
      <c r="AT797" s="28"/>
    </row>
    <row r="798" spans="33:46">
      <c r="AG798" s="26"/>
      <c r="AH798" s="26"/>
      <c r="AI798" s="26"/>
      <c r="AJ798" s="26"/>
      <c r="AK798" s="26"/>
      <c r="AL798" s="26"/>
      <c r="AT798" s="28"/>
    </row>
    <row r="799" spans="33:46">
      <c r="AG799" s="26"/>
      <c r="AH799" s="26"/>
      <c r="AI799" s="26"/>
      <c r="AJ799" s="26"/>
      <c r="AK799" s="26"/>
      <c r="AL799" s="26"/>
      <c r="AT799" s="28"/>
    </row>
    <row r="800" spans="33:46">
      <c r="AG800" s="26"/>
      <c r="AH800" s="26"/>
      <c r="AI800" s="26"/>
      <c r="AJ800" s="26"/>
      <c r="AK800" s="26"/>
      <c r="AL800" s="26"/>
      <c r="AT800" s="28"/>
    </row>
    <row r="801" spans="33:46">
      <c r="AG801" s="26"/>
      <c r="AH801" s="26"/>
      <c r="AI801" s="26"/>
      <c r="AJ801" s="26"/>
      <c r="AK801" s="26"/>
      <c r="AL801" s="26"/>
      <c r="AT801" s="28"/>
    </row>
    <row r="802" spans="33:46">
      <c r="AG802" s="26"/>
      <c r="AH802" s="26"/>
      <c r="AI802" s="26"/>
      <c r="AJ802" s="26"/>
      <c r="AK802" s="26"/>
      <c r="AL802" s="26"/>
      <c r="AT802" s="28"/>
    </row>
    <row r="803" spans="33:46">
      <c r="AG803" s="26"/>
      <c r="AH803" s="26"/>
      <c r="AI803" s="26"/>
      <c r="AJ803" s="26"/>
      <c r="AK803" s="26"/>
      <c r="AL803" s="26"/>
      <c r="AT803" s="28"/>
    </row>
    <row r="804" spans="33:46">
      <c r="AG804" s="26"/>
      <c r="AH804" s="26"/>
      <c r="AI804" s="26"/>
      <c r="AJ804" s="26"/>
      <c r="AK804" s="26"/>
      <c r="AL804" s="26"/>
      <c r="AT804" s="28"/>
    </row>
    <row r="805" spans="33:46">
      <c r="AG805" s="26"/>
      <c r="AH805" s="26"/>
      <c r="AI805" s="26"/>
      <c r="AJ805" s="26"/>
      <c r="AK805" s="26"/>
      <c r="AL805" s="26"/>
      <c r="AT805" s="28"/>
    </row>
    <row r="806" spans="33:46">
      <c r="AG806" s="26"/>
      <c r="AH806" s="26"/>
      <c r="AI806" s="26"/>
      <c r="AJ806" s="26"/>
      <c r="AK806" s="26"/>
      <c r="AL806" s="26"/>
      <c r="AT806" s="28"/>
    </row>
    <row r="807" spans="33:46">
      <c r="AG807" s="26"/>
      <c r="AH807" s="26"/>
      <c r="AI807" s="26"/>
      <c r="AJ807" s="26"/>
      <c r="AK807" s="26"/>
      <c r="AL807" s="26"/>
      <c r="AT807" s="28"/>
    </row>
    <row r="808" spans="33:46">
      <c r="AG808" s="26"/>
      <c r="AH808" s="26"/>
      <c r="AI808" s="26"/>
      <c r="AJ808" s="26"/>
      <c r="AK808" s="26"/>
      <c r="AL808" s="26"/>
      <c r="AT808" s="28"/>
    </row>
    <row r="809" spans="33:46">
      <c r="AG809" s="26"/>
      <c r="AH809" s="26"/>
      <c r="AI809" s="26"/>
      <c r="AJ809" s="26"/>
      <c r="AK809" s="26"/>
      <c r="AL809" s="26"/>
      <c r="AT809" s="28"/>
    </row>
    <row r="810" spans="33:46">
      <c r="AG810" s="26"/>
      <c r="AH810" s="26"/>
      <c r="AI810" s="26"/>
      <c r="AJ810" s="26"/>
      <c r="AK810" s="26"/>
      <c r="AL810" s="26"/>
      <c r="AT810" s="28"/>
    </row>
    <row r="811" spans="33:46">
      <c r="AG811" s="26"/>
      <c r="AH811" s="26"/>
      <c r="AI811" s="26"/>
      <c r="AJ811" s="26"/>
      <c r="AK811" s="26"/>
      <c r="AL811" s="26"/>
      <c r="AT811" s="28"/>
    </row>
    <row r="812" spans="33:46">
      <c r="AG812" s="26"/>
      <c r="AH812" s="26"/>
      <c r="AI812" s="26"/>
      <c r="AJ812" s="26"/>
      <c r="AK812" s="26"/>
      <c r="AL812" s="26"/>
      <c r="AT812" s="28"/>
    </row>
    <row r="813" spans="33:46">
      <c r="AG813" s="26"/>
      <c r="AH813" s="26"/>
      <c r="AI813" s="26"/>
      <c r="AJ813" s="26"/>
      <c r="AK813" s="26"/>
      <c r="AL813" s="26"/>
      <c r="AT813" s="28"/>
    </row>
    <row r="814" spans="33:46">
      <c r="AG814" s="26"/>
      <c r="AH814" s="26"/>
      <c r="AI814" s="26"/>
      <c r="AJ814" s="26"/>
      <c r="AK814" s="26"/>
      <c r="AL814" s="26"/>
      <c r="AT814" s="28"/>
    </row>
    <row r="815" spans="33:46">
      <c r="AG815" s="26"/>
      <c r="AH815" s="26"/>
      <c r="AI815" s="26"/>
      <c r="AJ815" s="26"/>
      <c r="AK815" s="26"/>
      <c r="AL815" s="26"/>
      <c r="AT815" s="28"/>
    </row>
    <row r="816" spans="33:46">
      <c r="AG816" s="26"/>
      <c r="AH816" s="26"/>
      <c r="AI816" s="26"/>
      <c r="AJ816" s="26"/>
      <c r="AK816" s="26"/>
      <c r="AL816" s="26"/>
      <c r="AT816" s="28"/>
    </row>
    <row r="817" spans="33:46">
      <c r="AG817" s="26"/>
      <c r="AH817" s="26"/>
      <c r="AI817" s="26"/>
      <c r="AJ817" s="26"/>
      <c r="AK817" s="26"/>
      <c r="AL817" s="26"/>
      <c r="AT817" s="28"/>
    </row>
    <row r="818" spans="33:46">
      <c r="AG818" s="26"/>
      <c r="AH818" s="26"/>
      <c r="AI818" s="26"/>
      <c r="AJ818" s="26"/>
      <c r="AK818" s="26"/>
      <c r="AL818" s="26"/>
      <c r="AT818" s="28"/>
    </row>
    <row r="819" spans="33:46">
      <c r="AG819" s="26"/>
      <c r="AH819" s="26"/>
      <c r="AI819" s="26"/>
      <c r="AJ819" s="26"/>
      <c r="AK819" s="26"/>
      <c r="AL819" s="26"/>
      <c r="AT819" s="28"/>
    </row>
    <row r="820" spans="33:46">
      <c r="AG820" s="26"/>
      <c r="AH820" s="26"/>
      <c r="AI820" s="26"/>
      <c r="AJ820" s="26"/>
      <c r="AK820" s="26"/>
      <c r="AL820" s="26"/>
      <c r="AT820" s="28"/>
    </row>
    <row r="821" spans="33:46">
      <c r="AG821" s="26"/>
      <c r="AH821" s="26"/>
      <c r="AI821" s="26"/>
      <c r="AJ821" s="26"/>
      <c r="AK821" s="26"/>
      <c r="AL821" s="26"/>
      <c r="AT821" s="28"/>
    </row>
    <row r="822" spans="33:46">
      <c r="AG822" s="26"/>
      <c r="AH822" s="26"/>
      <c r="AI822" s="26"/>
      <c r="AJ822" s="26"/>
      <c r="AK822" s="26"/>
      <c r="AL822" s="26"/>
      <c r="AT822" s="28"/>
    </row>
    <row r="823" spans="33:46">
      <c r="AG823" s="26"/>
      <c r="AH823" s="26"/>
      <c r="AI823" s="26"/>
      <c r="AJ823" s="26"/>
      <c r="AK823" s="26"/>
      <c r="AL823" s="26"/>
      <c r="AT823" s="28"/>
    </row>
    <row r="824" spans="33:46">
      <c r="AG824" s="26"/>
      <c r="AH824" s="26"/>
      <c r="AI824" s="26"/>
      <c r="AJ824" s="26"/>
      <c r="AK824" s="26"/>
      <c r="AL824" s="26"/>
      <c r="AT824" s="28"/>
    </row>
    <row r="825" spans="33:46">
      <c r="AG825" s="26"/>
      <c r="AH825" s="26"/>
      <c r="AI825" s="26"/>
      <c r="AJ825" s="26"/>
      <c r="AK825" s="26"/>
      <c r="AL825" s="26"/>
      <c r="AT825" s="28"/>
    </row>
    <row r="826" spans="33:46">
      <c r="AG826" s="26"/>
      <c r="AH826" s="26"/>
      <c r="AI826" s="26"/>
      <c r="AJ826" s="26"/>
      <c r="AK826" s="26"/>
      <c r="AL826" s="26"/>
      <c r="AT826" s="28"/>
    </row>
    <row r="827" spans="33:46">
      <c r="AG827" s="26"/>
      <c r="AH827" s="26"/>
      <c r="AI827" s="26"/>
      <c r="AJ827" s="26"/>
      <c r="AK827" s="26"/>
      <c r="AL827" s="26"/>
      <c r="AT827" s="28"/>
    </row>
    <row r="828" spans="33:46">
      <c r="AG828" s="26"/>
      <c r="AH828" s="26"/>
      <c r="AI828" s="26"/>
      <c r="AJ828" s="26"/>
      <c r="AK828" s="26"/>
      <c r="AL828" s="26"/>
      <c r="AT828" s="28"/>
    </row>
    <row r="829" spans="33:46">
      <c r="AG829" s="26"/>
      <c r="AH829" s="26"/>
      <c r="AI829" s="26"/>
      <c r="AJ829" s="26"/>
      <c r="AK829" s="26"/>
      <c r="AL829" s="26"/>
      <c r="AT829" s="28"/>
    </row>
    <row r="830" spans="33:46">
      <c r="AG830" s="26"/>
      <c r="AH830" s="26"/>
      <c r="AI830" s="26"/>
      <c r="AJ830" s="26"/>
      <c r="AK830" s="26"/>
      <c r="AL830" s="26"/>
      <c r="AT830" s="28"/>
    </row>
    <row r="831" spans="33:46">
      <c r="AG831" s="26"/>
      <c r="AH831" s="26"/>
      <c r="AI831" s="26"/>
      <c r="AJ831" s="26"/>
      <c r="AK831" s="26"/>
      <c r="AL831" s="26"/>
      <c r="AT831" s="28"/>
    </row>
    <row r="832" spans="33:46">
      <c r="AG832" s="26"/>
      <c r="AH832" s="26"/>
      <c r="AI832" s="26"/>
      <c r="AJ832" s="26"/>
      <c r="AK832" s="26"/>
      <c r="AL832" s="26"/>
      <c r="AT832" s="28"/>
    </row>
    <row r="833" spans="33:46">
      <c r="AG833" s="26"/>
      <c r="AH833" s="26"/>
      <c r="AI833" s="26"/>
      <c r="AJ833" s="26"/>
      <c r="AK833" s="26"/>
      <c r="AL833" s="26"/>
      <c r="AT833" s="28"/>
    </row>
    <row r="834" spans="33:46">
      <c r="AG834" s="26"/>
      <c r="AH834" s="26"/>
      <c r="AI834" s="26"/>
      <c r="AJ834" s="26"/>
      <c r="AK834" s="26"/>
      <c r="AL834" s="26"/>
      <c r="AT834" s="28"/>
    </row>
    <row r="835" spans="33:46">
      <c r="AG835" s="26"/>
      <c r="AH835" s="26"/>
      <c r="AI835" s="26"/>
      <c r="AJ835" s="26"/>
      <c r="AK835" s="26"/>
      <c r="AL835" s="26"/>
      <c r="AT835" s="28"/>
    </row>
    <row r="836" spans="33:46">
      <c r="AG836" s="26"/>
      <c r="AH836" s="26"/>
      <c r="AI836" s="26"/>
      <c r="AJ836" s="26"/>
      <c r="AK836" s="26"/>
      <c r="AL836" s="26"/>
      <c r="AT836" s="28"/>
    </row>
    <row r="837" spans="33:46">
      <c r="AG837" s="26"/>
      <c r="AH837" s="26"/>
      <c r="AI837" s="26"/>
      <c r="AJ837" s="26"/>
      <c r="AK837" s="26"/>
      <c r="AL837" s="26"/>
      <c r="AT837" s="28"/>
    </row>
    <row r="838" spans="33:46">
      <c r="AG838" s="26"/>
      <c r="AH838" s="26"/>
      <c r="AI838" s="26"/>
      <c r="AJ838" s="26"/>
      <c r="AK838" s="26"/>
      <c r="AL838" s="26"/>
      <c r="AT838" s="28"/>
    </row>
    <row r="839" spans="33:46">
      <c r="AG839" s="26"/>
      <c r="AH839" s="26"/>
      <c r="AI839" s="26"/>
      <c r="AJ839" s="26"/>
      <c r="AK839" s="26"/>
      <c r="AL839" s="26"/>
      <c r="AT839" s="28"/>
    </row>
    <row r="840" spans="33:46">
      <c r="AG840" s="26"/>
      <c r="AH840" s="26"/>
      <c r="AI840" s="26"/>
      <c r="AJ840" s="26"/>
      <c r="AK840" s="26"/>
      <c r="AL840" s="26"/>
      <c r="AT840" s="28"/>
    </row>
    <row r="841" spans="33:46">
      <c r="AG841" s="26"/>
      <c r="AH841" s="26"/>
      <c r="AI841" s="26"/>
      <c r="AJ841" s="26"/>
      <c r="AK841" s="26"/>
      <c r="AL841" s="26"/>
      <c r="AT841" s="28"/>
    </row>
    <row r="842" spans="33:46">
      <c r="AG842" s="26"/>
      <c r="AH842" s="26"/>
      <c r="AI842" s="26"/>
      <c r="AJ842" s="26"/>
      <c r="AK842" s="26"/>
      <c r="AL842" s="26"/>
      <c r="AT842" s="28"/>
    </row>
    <row r="843" spans="33:46">
      <c r="AG843" s="26"/>
      <c r="AH843" s="26"/>
      <c r="AI843" s="26"/>
      <c r="AJ843" s="26"/>
      <c r="AK843" s="26"/>
      <c r="AL843" s="26"/>
      <c r="AT843" s="28"/>
    </row>
    <row r="844" spans="33:46">
      <c r="AG844" s="26"/>
      <c r="AH844" s="26"/>
      <c r="AI844" s="26"/>
      <c r="AJ844" s="26"/>
      <c r="AK844" s="26"/>
      <c r="AL844" s="26"/>
      <c r="AT844" s="28"/>
    </row>
    <row r="845" spans="33:46">
      <c r="AG845" s="26"/>
      <c r="AH845" s="26"/>
      <c r="AI845" s="26"/>
      <c r="AJ845" s="26"/>
      <c r="AK845" s="26"/>
      <c r="AL845" s="26"/>
      <c r="AT845" s="28"/>
    </row>
    <row r="846" spans="33:46">
      <c r="AG846" s="26"/>
      <c r="AH846" s="26"/>
      <c r="AI846" s="26"/>
      <c r="AJ846" s="26"/>
      <c r="AK846" s="26"/>
      <c r="AL846" s="26"/>
      <c r="AT846" s="28"/>
    </row>
    <row r="847" spans="33:46">
      <c r="AG847" s="26"/>
      <c r="AH847" s="26"/>
      <c r="AI847" s="26"/>
      <c r="AJ847" s="26"/>
      <c r="AK847" s="26"/>
      <c r="AL847" s="26"/>
      <c r="AT847" s="28"/>
    </row>
    <row r="848" spans="33:46">
      <c r="AG848" s="26"/>
      <c r="AH848" s="26"/>
      <c r="AI848" s="26"/>
      <c r="AJ848" s="26"/>
      <c r="AK848" s="26"/>
      <c r="AL848" s="26"/>
      <c r="AT848" s="28"/>
    </row>
    <row r="849" spans="33:46">
      <c r="AG849" s="26"/>
      <c r="AH849" s="26"/>
      <c r="AI849" s="26"/>
      <c r="AJ849" s="26"/>
      <c r="AK849" s="26"/>
      <c r="AL849" s="26"/>
      <c r="AT849" s="28"/>
    </row>
    <row r="850" spans="33:46">
      <c r="AG850" s="26"/>
      <c r="AH850" s="26"/>
      <c r="AI850" s="26"/>
      <c r="AJ850" s="26"/>
      <c r="AK850" s="26"/>
      <c r="AL850" s="26"/>
      <c r="AT850" s="28"/>
    </row>
    <row r="851" spans="33:46">
      <c r="AG851" s="26"/>
      <c r="AH851" s="26"/>
      <c r="AI851" s="26"/>
      <c r="AJ851" s="26"/>
      <c r="AK851" s="26"/>
      <c r="AL851" s="26"/>
      <c r="AT851" s="28"/>
    </row>
    <row r="852" spans="33:46">
      <c r="AG852" s="26"/>
      <c r="AH852" s="26"/>
      <c r="AI852" s="26"/>
      <c r="AJ852" s="26"/>
      <c r="AK852" s="26"/>
      <c r="AL852" s="26"/>
      <c r="AT852" s="28"/>
    </row>
    <row r="853" spans="33:46">
      <c r="AG853" s="26"/>
      <c r="AH853" s="26"/>
      <c r="AI853" s="26"/>
      <c r="AJ853" s="26"/>
      <c r="AK853" s="26"/>
      <c r="AL853" s="26"/>
      <c r="AT853" s="28"/>
    </row>
    <row r="854" spans="33:46">
      <c r="AG854" s="26"/>
      <c r="AH854" s="26"/>
      <c r="AI854" s="26"/>
      <c r="AJ854" s="26"/>
      <c r="AK854" s="26"/>
      <c r="AL854" s="26"/>
      <c r="AT854" s="28"/>
    </row>
    <row r="855" spans="33:46">
      <c r="AG855" s="26"/>
      <c r="AH855" s="26"/>
      <c r="AI855" s="26"/>
      <c r="AJ855" s="26"/>
      <c r="AK855" s="26"/>
      <c r="AL855" s="26"/>
      <c r="AT855" s="28"/>
    </row>
    <row r="856" spans="33:46">
      <c r="AG856" s="26"/>
      <c r="AH856" s="26"/>
      <c r="AI856" s="26"/>
      <c r="AJ856" s="26"/>
      <c r="AK856" s="26"/>
      <c r="AL856" s="26"/>
      <c r="AT856" s="28"/>
    </row>
    <row r="857" spans="33:46">
      <c r="AG857" s="26"/>
      <c r="AH857" s="26"/>
      <c r="AI857" s="26"/>
      <c r="AJ857" s="26"/>
      <c r="AK857" s="26"/>
      <c r="AL857" s="26"/>
      <c r="AT857" s="28"/>
    </row>
    <row r="858" spans="33:46">
      <c r="AG858" s="26"/>
      <c r="AH858" s="26"/>
      <c r="AI858" s="26"/>
      <c r="AJ858" s="26"/>
      <c r="AK858" s="26"/>
      <c r="AL858" s="26"/>
      <c r="AT858" s="28"/>
    </row>
    <row r="859" spans="33:46">
      <c r="AG859" s="26"/>
      <c r="AH859" s="26"/>
      <c r="AI859" s="26"/>
      <c r="AJ859" s="26"/>
      <c r="AK859" s="26"/>
      <c r="AL859" s="26"/>
      <c r="AT859" s="28"/>
    </row>
    <row r="860" spans="33:46">
      <c r="AG860" s="26"/>
      <c r="AH860" s="26"/>
      <c r="AI860" s="26"/>
      <c r="AJ860" s="26"/>
      <c r="AK860" s="26"/>
      <c r="AL860" s="26"/>
      <c r="AT860" s="28"/>
    </row>
    <row r="861" spans="33:46">
      <c r="AG861" s="26"/>
      <c r="AH861" s="26"/>
      <c r="AI861" s="26"/>
      <c r="AJ861" s="26"/>
      <c r="AK861" s="26"/>
      <c r="AL861" s="26"/>
      <c r="AT861" s="28"/>
    </row>
    <row r="862" spans="33:46">
      <c r="AG862" s="26"/>
      <c r="AH862" s="26"/>
      <c r="AI862" s="26"/>
      <c r="AJ862" s="26"/>
      <c r="AK862" s="26"/>
      <c r="AL862" s="26"/>
      <c r="AT862" s="28"/>
    </row>
    <row r="863" spans="33:46">
      <c r="AG863" s="26"/>
      <c r="AH863" s="26"/>
      <c r="AI863" s="26"/>
      <c r="AJ863" s="26"/>
      <c r="AK863" s="26"/>
      <c r="AL863" s="26"/>
      <c r="AT863" s="28"/>
    </row>
    <row r="864" spans="33:46">
      <c r="AG864" s="26"/>
      <c r="AH864" s="26"/>
      <c r="AI864" s="26"/>
      <c r="AJ864" s="26"/>
      <c r="AK864" s="26"/>
      <c r="AL864" s="26"/>
      <c r="AT864" s="28"/>
    </row>
    <row r="865" spans="33:46">
      <c r="AG865" s="26"/>
      <c r="AH865" s="26"/>
      <c r="AI865" s="26"/>
      <c r="AJ865" s="26"/>
      <c r="AK865" s="26"/>
      <c r="AL865" s="26"/>
      <c r="AT865" s="28"/>
    </row>
    <row r="866" spans="33:46">
      <c r="AG866" s="26"/>
      <c r="AH866" s="26"/>
      <c r="AI866" s="26"/>
      <c r="AJ866" s="26"/>
      <c r="AK866" s="26"/>
      <c r="AL866" s="26"/>
      <c r="AT866" s="28"/>
    </row>
    <row r="867" spans="33:46">
      <c r="AG867" s="26"/>
      <c r="AH867" s="26"/>
      <c r="AI867" s="26"/>
      <c r="AJ867" s="26"/>
      <c r="AK867" s="26"/>
      <c r="AL867" s="26"/>
      <c r="AT867" s="28"/>
    </row>
    <row r="868" spans="33:46">
      <c r="AG868" s="26"/>
      <c r="AH868" s="26"/>
      <c r="AI868" s="26"/>
      <c r="AJ868" s="26"/>
      <c r="AK868" s="26"/>
      <c r="AL868" s="26"/>
      <c r="AT868" s="28"/>
    </row>
    <row r="869" spans="33:46">
      <c r="AG869" s="26"/>
      <c r="AH869" s="26"/>
      <c r="AI869" s="26"/>
      <c r="AJ869" s="26"/>
      <c r="AK869" s="26"/>
      <c r="AL869" s="26"/>
      <c r="AT869" s="28"/>
    </row>
    <row r="870" spans="33:46">
      <c r="AG870" s="26"/>
      <c r="AH870" s="26"/>
      <c r="AI870" s="26"/>
      <c r="AJ870" s="26"/>
      <c r="AK870" s="26"/>
      <c r="AL870" s="26"/>
      <c r="AT870" s="28"/>
    </row>
    <row r="871" spans="33:46">
      <c r="AG871" s="26"/>
      <c r="AH871" s="26"/>
      <c r="AI871" s="26"/>
      <c r="AJ871" s="26"/>
      <c r="AK871" s="26"/>
      <c r="AL871" s="26"/>
      <c r="AT871" s="28"/>
    </row>
    <row r="872" spans="33:46">
      <c r="AG872" s="26"/>
      <c r="AH872" s="26"/>
      <c r="AI872" s="26"/>
      <c r="AJ872" s="26"/>
      <c r="AK872" s="26"/>
      <c r="AL872" s="26"/>
      <c r="AT872" s="28"/>
    </row>
    <row r="873" spans="33:46">
      <c r="AG873" s="26"/>
      <c r="AH873" s="26"/>
      <c r="AI873" s="26"/>
      <c r="AJ873" s="26"/>
      <c r="AK873" s="26"/>
      <c r="AL873" s="26"/>
      <c r="AT873" s="28"/>
    </row>
    <row r="874" spans="33:46">
      <c r="AG874" s="26"/>
      <c r="AH874" s="26"/>
      <c r="AI874" s="26"/>
      <c r="AJ874" s="26"/>
      <c r="AK874" s="26"/>
      <c r="AL874" s="26"/>
      <c r="AT874" s="28"/>
    </row>
    <row r="875" spans="33:46">
      <c r="AG875" s="26"/>
      <c r="AH875" s="26"/>
      <c r="AI875" s="26"/>
      <c r="AJ875" s="26"/>
      <c r="AK875" s="26"/>
      <c r="AL875" s="26"/>
      <c r="AT875" s="28"/>
    </row>
    <row r="876" spans="33:46">
      <c r="AG876" s="26"/>
      <c r="AH876" s="26"/>
      <c r="AI876" s="26"/>
      <c r="AJ876" s="26"/>
      <c r="AK876" s="26"/>
      <c r="AL876" s="26"/>
      <c r="AT876" s="28"/>
    </row>
    <row r="877" spans="33:46">
      <c r="AG877" s="26"/>
      <c r="AH877" s="26"/>
      <c r="AI877" s="26"/>
      <c r="AJ877" s="26"/>
      <c r="AK877" s="26"/>
      <c r="AL877" s="26"/>
      <c r="AT877" s="28"/>
    </row>
    <row r="878" spans="33:46">
      <c r="AG878" s="26"/>
      <c r="AH878" s="26"/>
      <c r="AI878" s="26"/>
      <c r="AJ878" s="26"/>
      <c r="AK878" s="26"/>
      <c r="AL878" s="26"/>
      <c r="AT878" s="28"/>
    </row>
    <row r="879" spans="33:46">
      <c r="AG879" s="26"/>
      <c r="AH879" s="26"/>
      <c r="AI879" s="26"/>
      <c r="AJ879" s="26"/>
      <c r="AK879" s="26"/>
      <c r="AL879" s="26"/>
      <c r="AT879" s="28"/>
    </row>
    <row r="880" spans="33:46">
      <c r="AG880" s="26"/>
      <c r="AH880" s="26"/>
      <c r="AI880" s="26"/>
      <c r="AJ880" s="26"/>
      <c r="AK880" s="26"/>
      <c r="AL880" s="26"/>
      <c r="AT880" s="28"/>
    </row>
    <row r="881" spans="33:46">
      <c r="AG881" s="26"/>
      <c r="AH881" s="26"/>
      <c r="AI881" s="26"/>
      <c r="AJ881" s="26"/>
      <c r="AK881" s="26"/>
      <c r="AL881" s="26"/>
      <c r="AT881" s="28"/>
    </row>
    <row r="882" spans="33:46">
      <c r="AG882" s="26"/>
      <c r="AH882" s="26"/>
      <c r="AI882" s="26"/>
      <c r="AJ882" s="26"/>
      <c r="AK882" s="26"/>
      <c r="AL882" s="26"/>
      <c r="AT882" s="28"/>
    </row>
    <row r="883" spans="33:46">
      <c r="AG883" s="26"/>
      <c r="AH883" s="26"/>
      <c r="AI883" s="26"/>
      <c r="AJ883" s="26"/>
      <c r="AK883" s="26"/>
      <c r="AL883" s="26"/>
      <c r="AT883" s="28"/>
    </row>
    <row r="884" spans="33:46">
      <c r="AG884" s="26"/>
      <c r="AH884" s="26"/>
      <c r="AI884" s="26"/>
      <c r="AJ884" s="26"/>
      <c r="AK884" s="26"/>
      <c r="AL884" s="26"/>
      <c r="AT884" s="28"/>
    </row>
    <row r="885" spans="33:46">
      <c r="AG885" s="26"/>
      <c r="AH885" s="26"/>
      <c r="AI885" s="26"/>
      <c r="AJ885" s="26"/>
      <c r="AK885" s="26"/>
      <c r="AL885" s="26"/>
      <c r="AT885" s="28"/>
    </row>
    <row r="886" spans="33:46">
      <c r="AG886" s="26"/>
      <c r="AH886" s="26"/>
      <c r="AI886" s="26"/>
      <c r="AJ886" s="26"/>
      <c r="AK886" s="26"/>
      <c r="AL886" s="26"/>
      <c r="AT886" s="28"/>
    </row>
    <row r="887" spans="33:46">
      <c r="AG887" s="26"/>
      <c r="AH887" s="26"/>
      <c r="AI887" s="26"/>
      <c r="AJ887" s="26"/>
      <c r="AK887" s="26"/>
      <c r="AL887" s="26"/>
      <c r="AT887" s="28"/>
    </row>
    <row r="888" spans="33:46">
      <c r="AG888" s="26"/>
      <c r="AH888" s="26"/>
      <c r="AI888" s="26"/>
      <c r="AJ888" s="26"/>
      <c r="AK888" s="26"/>
      <c r="AL888" s="26"/>
      <c r="AT888" s="28"/>
    </row>
    <row r="889" spans="33:46">
      <c r="AG889" s="26"/>
      <c r="AH889" s="26"/>
      <c r="AI889" s="26"/>
      <c r="AJ889" s="26"/>
      <c r="AK889" s="26"/>
      <c r="AL889" s="26"/>
      <c r="AT889" s="28"/>
    </row>
    <row r="890" spans="33:46">
      <c r="AG890" s="26"/>
      <c r="AH890" s="26"/>
      <c r="AI890" s="26"/>
      <c r="AJ890" s="26"/>
      <c r="AK890" s="26"/>
      <c r="AL890" s="26"/>
      <c r="AT890" s="28"/>
    </row>
    <row r="891" spans="33:46">
      <c r="AG891" s="26"/>
      <c r="AH891" s="26"/>
      <c r="AI891" s="26"/>
      <c r="AJ891" s="26"/>
      <c r="AK891" s="26"/>
      <c r="AL891" s="26"/>
      <c r="AT891" s="28"/>
    </row>
    <row r="892" spans="33:46">
      <c r="AG892" s="26"/>
      <c r="AH892" s="26"/>
      <c r="AI892" s="26"/>
      <c r="AJ892" s="26"/>
      <c r="AK892" s="26"/>
      <c r="AL892" s="26"/>
      <c r="AT892" s="28"/>
    </row>
    <row r="893" spans="33:46">
      <c r="AG893" s="26"/>
      <c r="AH893" s="26"/>
      <c r="AI893" s="26"/>
      <c r="AJ893" s="26"/>
      <c r="AK893" s="26"/>
      <c r="AL893" s="26"/>
      <c r="AT893" s="28"/>
    </row>
    <row r="894" spans="33:46">
      <c r="AG894" s="26"/>
      <c r="AH894" s="26"/>
      <c r="AI894" s="26"/>
      <c r="AJ894" s="26"/>
      <c r="AK894" s="26"/>
      <c r="AL894" s="26"/>
      <c r="AT894" s="28"/>
    </row>
    <row r="895" spans="33:46">
      <c r="AG895" s="26"/>
      <c r="AH895" s="26"/>
      <c r="AI895" s="26"/>
      <c r="AJ895" s="26"/>
      <c r="AK895" s="26"/>
      <c r="AL895" s="26"/>
      <c r="AT895" s="28"/>
    </row>
    <row r="896" spans="33:46">
      <c r="AG896" s="26"/>
      <c r="AH896" s="26"/>
      <c r="AI896" s="26"/>
      <c r="AJ896" s="26"/>
      <c r="AK896" s="26"/>
      <c r="AL896" s="26"/>
      <c r="AT896" s="28"/>
    </row>
    <row r="897" spans="33:46">
      <c r="AG897" s="26"/>
      <c r="AH897" s="26"/>
      <c r="AI897" s="26"/>
      <c r="AJ897" s="26"/>
      <c r="AK897" s="26"/>
      <c r="AL897" s="26"/>
      <c r="AT897" s="28"/>
    </row>
    <row r="898" spans="33:46">
      <c r="AG898" s="26"/>
      <c r="AH898" s="26"/>
      <c r="AI898" s="26"/>
      <c r="AJ898" s="26"/>
      <c r="AK898" s="26"/>
      <c r="AL898" s="26"/>
      <c r="AT898" s="28"/>
    </row>
    <row r="899" spans="33:46">
      <c r="AG899" s="26"/>
      <c r="AH899" s="26"/>
      <c r="AI899" s="26"/>
      <c r="AJ899" s="26"/>
      <c r="AK899" s="26"/>
      <c r="AL899" s="26"/>
      <c r="AT899" s="28"/>
    </row>
    <row r="900" spans="33:46">
      <c r="AG900" s="26"/>
      <c r="AH900" s="26"/>
      <c r="AI900" s="26"/>
      <c r="AJ900" s="26"/>
      <c r="AK900" s="26"/>
      <c r="AL900" s="26"/>
      <c r="AT900" s="28"/>
    </row>
    <row r="901" spans="33:46">
      <c r="AG901" s="26"/>
      <c r="AH901" s="26"/>
      <c r="AI901" s="26"/>
      <c r="AJ901" s="26"/>
      <c r="AK901" s="26"/>
      <c r="AL901" s="26"/>
      <c r="AT901" s="28"/>
    </row>
    <row r="902" spans="33:46">
      <c r="AG902" s="26"/>
      <c r="AH902" s="26"/>
      <c r="AI902" s="26"/>
      <c r="AJ902" s="26"/>
      <c r="AK902" s="26"/>
      <c r="AL902" s="26"/>
      <c r="AT902" s="28"/>
    </row>
    <row r="903" spans="33:46">
      <c r="AG903" s="26"/>
      <c r="AH903" s="26"/>
      <c r="AI903" s="26"/>
      <c r="AJ903" s="26"/>
      <c r="AK903" s="26"/>
      <c r="AL903" s="26"/>
      <c r="AT903" s="28"/>
    </row>
    <row r="904" spans="33:46">
      <c r="AG904" s="26"/>
      <c r="AH904" s="26"/>
      <c r="AI904" s="26"/>
      <c r="AJ904" s="26"/>
      <c r="AK904" s="26"/>
      <c r="AL904" s="26"/>
      <c r="AT904" s="28"/>
    </row>
    <row r="905" spans="33:46">
      <c r="AG905" s="26"/>
      <c r="AH905" s="26"/>
      <c r="AI905" s="26"/>
      <c r="AJ905" s="26"/>
      <c r="AK905" s="26"/>
      <c r="AL905" s="26"/>
      <c r="AT905" s="28"/>
    </row>
    <row r="906" spans="33:46">
      <c r="AG906" s="26"/>
      <c r="AH906" s="26"/>
      <c r="AI906" s="26"/>
      <c r="AJ906" s="26"/>
      <c r="AK906" s="26"/>
      <c r="AL906" s="26"/>
      <c r="AT906" s="28"/>
    </row>
    <row r="907" spans="33:46">
      <c r="AG907" s="26"/>
      <c r="AH907" s="26"/>
      <c r="AI907" s="26"/>
      <c r="AJ907" s="26"/>
      <c r="AK907" s="26"/>
      <c r="AL907" s="26"/>
      <c r="AT907" s="28"/>
    </row>
    <row r="908" spans="33:46">
      <c r="AG908" s="26"/>
      <c r="AH908" s="26"/>
      <c r="AI908" s="26"/>
      <c r="AJ908" s="26"/>
      <c r="AK908" s="26"/>
      <c r="AL908" s="26"/>
      <c r="AT908" s="28"/>
    </row>
    <row r="909" spans="33:46">
      <c r="AG909" s="26"/>
      <c r="AH909" s="26"/>
      <c r="AI909" s="26"/>
      <c r="AJ909" s="26"/>
      <c r="AK909" s="26"/>
      <c r="AL909" s="26"/>
      <c r="AT909" s="28"/>
    </row>
    <row r="910" spans="33:46">
      <c r="AG910" s="26"/>
      <c r="AH910" s="26"/>
      <c r="AI910" s="26"/>
      <c r="AJ910" s="26"/>
      <c r="AK910" s="26"/>
      <c r="AL910" s="26"/>
      <c r="AT910" s="28"/>
    </row>
    <row r="911" spans="33:46">
      <c r="AG911" s="26"/>
      <c r="AH911" s="26"/>
      <c r="AI911" s="26"/>
      <c r="AJ911" s="26"/>
      <c r="AK911" s="26"/>
      <c r="AL911" s="26"/>
      <c r="AT911" s="28"/>
    </row>
    <row r="912" spans="33:46">
      <c r="AG912" s="26"/>
      <c r="AH912" s="26"/>
      <c r="AI912" s="26"/>
      <c r="AJ912" s="26"/>
      <c r="AK912" s="26"/>
      <c r="AL912" s="26"/>
      <c r="AT912" s="28"/>
    </row>
    <row r="913" spans="33:46">
      <c r="AG913" s="26"/>
      <c r="AH913" s="26"/>
      <c r="AI913" s="26"/>
      <c r="AJ913" s="26"/>
      <c r="AK913" s="26"/>
      <c r="AL913" s="26"/>
      <c r="AT913" s="28"/>
    </row>
    <row r="914" spans="33:46">
      <c r="AG914" s="26"/>
      <c r="AH914" s="26"/>
      <c r="AI914" s="26"/>
      <c r="AJ914" s="26"/>
      <c r="AK914" s="26"/>
      <c r="AL914" s="26"/>
      <c r="AT914" s="28"/>
    </row>
    <row r="915" spans="33:46">
      <c r="AG915" s="26"/>
      <c r="AH915" s="26"/>
      <c r="AI915" s="26"/>
      <c r="AJ915" s="26"/>
      <c r="AK915" s="26"/>
      <c r="AL915" s="26"/>
      <c r="AT915" s="28"/>
    </row>
    <row r="916" spans="33:46">
      <c r="AG916" s="26"/>
      <c r="AH916" s="26"/>
      <c r="AI916" s="26"/>
      <c r="AJ916" s="26"/>
      <c r="AK916" s="26"/>
      <c r="AL916" s="26"/>
      <c r="AT916" s="28"/>
    </row>
    <row r="917" spans="33:46">
      <c r="AG917" s="26"/>
      <c r="AH917" s="26"/>
      <c r="AI917" s="26"/>
      <c r="AJ917" s="26"/>
      <c r="AK917" s="26"/>
      <c r="AL917" s="26"/>
      <c r="AT917" s="28"/>
    </row>
    <row r="918" spans="33:46">
      <c r="AG918" s="26"/>
      <c r="AH918" s="26"/>
      <c r="AI918" s="26"/>
      <c r="AJ918" s="26"/>
      <c r="AK918" s="26"/>
      <c r="AL918" s="26"/>
      <c r="AT918" s="28"/>
    </row>
    <row r="919" spans="33:46">
      <c r="AG919" s="26"/>
      <c r="AH919" s="26"/>
      <c r="AI919" s="26"/>
      <c r="AJ919" s="26"/>
      <c r="AK919" s="26"/>
      <c r="AL919" s="26"/>
      <c r="AT919" s="28"/>
    </row>
    <row r="920" spans="33:46">
      <c r="AG920" s="26"/>
      <c r="AH920" s="26"/>
      <c r="AI920" s="26"/>
      <c r="AJ920" s="26"/>
      <c r="AK920" s="26"/>
      <c r="AL920" s="26"/>
      <c r="AT920" s="28"/>
    </row>
    <row r="921" spans="33:46">
      <c r="AG921" s="26"/>
      <c r="AH921" s="26"/>
      <c r="AI921" s="26"/>
      <c r="AJ921" s="26"/>
      <c r="AK921" s="26"/>
      <c r="AL921" s="26"/>
      <c r="AT921" s="28"/>
    </row>
    <row r="922" spans="33:46">
      <c r="AG922" s="26"/>
      <c r="AH922" s="26"/>
      <c r="AI922" s="26"/>
      <c r="AJ922" s="26"/>
      <c r="AK922" s="26"/>
      <c r="AL922" s="26"/>
      <c r="AT922" s="28"/>
    </row>
    <row r="923" spans="33:46">
      <c r="AG923" s="26"/>
      <c r="AH923" s="26"/>
      <c r="AI923" s="26"/>
      <c r="AJ923" s="26"/>
      <c r="AK923" s="26"/>
      <c r="AL923" s="26"/>
      <c r="AT923" s="28"/>
    </row>
    <row r="924" spans="33:46">
      <c r="AG924" s="26"/>
      <c r="AH924" s="26"/>
      <c r="AI924" s="26"/>
      <c r="AJ924" s="26"/>
      <c r="AK924" s="26"/>
      <c r="AL924" s="26"/>
      <c r="AT924" s="28"/>
    </row>
    <row r="925" spans="33:46">
      <c r="AG925" s="26"/>
      <c r="AH925" s="26"/>
      <c r="AI925" s="26"/>
      <c r="AJ925" s="26"/>
      <c r="AK925" s="26"/>
      <c r="AL925" s="26"/>
      <c r="AT925" s="28"/>
    </row>
    <row r="926" spans="33:46">
      <c r="AG926" s="26"/>
      <c r="AH926" s="26"/>
      <c r="AI926" s="26"/>
      <c r="AJ926" s="26"/>
      <c r="AK926" s="26"/>
      <c r="AL926" s="26"/>
      <c r="AT926" s="28"/>
    </row>
    <row r="927" spans="33:46">
      <c r="AG927" s="26"/>
      <c r="AH927" s="26"/>
      <c r="AI927" s="26"/>
      <c r="AJ927" s="26"/>
      <c r="AK927" s="26"/>
      <c r="AL927" s="26"/>
      <c r="AT927" s="28"/>
    </row>
    <row r="928" spans="33:46">
      <c r="AG928" s="26"/>
      <c r="AH928" s="26"/>
      <c r="AI928" s="26"/>
      <c r="AJ928" s="26"/>
      <c r="AK928" s="26"/>
      <c r="AL928" s="26"/>
      <c r="AT928" s="28"/>
    </row>
    <row r="929" spans="33:46">
      <c r="AG929" s="26"/>
      <c r="AH929" s="26"/>
      <c r="AI929" s="26"/>
      <c r="AJ929" s="26"/>
      <c r="AK929" s="26"/>
      <c r="AL929" s="26"/>
      <c r="AT929" s="28"/>
    </row>
    <row r="930" spans="33:46">
      <c r="AG930" s="26"/>
      <c r="AH930" s="26"/>
      <c r="AI930" s="26"/>
      <c r="AJ930" s="26"/>
      <c r="AK930" s="26"/>
      <c r="AL930" s="26"/>
      <c r="AT930" s="28"/>
    </row>
    <row r="931" spans="33:46">
      <c r="AG931" s="26"/>
      <c r="AH931" s="26"/>
      <c r="AI931" s="26"/>
      <c r="AJ931" s="26"/>
      <c r="AK931" s="26"/>
      <c r="AL931" s="26"/>
      <c r="AT931" s="28"/>
    </row>
    <row r="932" spans="33:46">
      <c r="AG932" s="26"/>
      <c r="AH932" s="26"/>
      <c r="AI932" s="26"/>
      <c r="AJ932" s="26"/>
      <c r="AK932" s="26"/>
      <c r="AL932" s="26"/>
      <c r="AT932" s="28"/>
    </row>
    <row r="933" spans="33:46">
      <c r="AG933" s="26"/>
      <c r="AH933" s="26"/>
      <c r="AI933" s="26"/>
      <c r="AJ933" s="26"/>
      <c r="AK933" s="26"/>
      <c r="AL933" s="26"/>
      <c r="AT933" s="28"/>
    </row>
    <row r="934" spans="33:46">
      <c r="AG934" s="26"/>
      <c r="AH934" s="26"/>
      <c r="AI934" s="26"/>
      <c r="AJ934" s="26"/>
      <c r="AK934" s="26"/>
      <c r="AL934" s="26"/>
      <c r="AT934" s="28"/>
    </row>
    <row r="935" spans="33:46">
      <c r="AG935" s="26"/>
      <c r="AH935" s="26"/>
      <c r="AI935" s="26"/>
      <c r="AJ935" s="26"/>
      <c r="AK935" s="26"/>
      <c r="AL935" s="26"/>
      <c r="AT935" s="28"/>
    </row>
    <row r="936" spans="33:46">
      <c r="AG936" s="26"/>
      <c r="AH936" s="26"/>
      <c r="AI936" s="26"/>
      <c r="AJ936" s="26"/>
      <c r="AK936" s="26"/>
      <c r="AL936" s="26"/>
      <c r="AT936" s="28"/>
    </row>
    <row r="937" spans="33:46">
      <c r="AG937" s="26"/>
      <c r="AH937" s="26"/>
      <c r="AI937" s="26"/>
      <c r="AJ937" s="26"/>
      <c r="AK937" s="26"/>
      <c r="AL937" s="26"/>
      <c r="AT937" s="28"/>
    </row>
    <row r="938" spans="33:46">
      <c r="AG938" s="26"/>
      <c r="AH938" s="26"/>
      <c r="AI938" s="26"/>
      <c r="AJ938" s="26"/>
      <c r="AK938" s="26"/>
      <c r="AL938" s="26"/>
      <c r="AT938" s="28"/>
    </row>
    <row r="939" spans="33:46">
      <c r="AG939" s="26"/>
      <c r="AH939" s="26"/>
      <c r="AI939" s="26"/>
      <c r="AJ939" s="26"/>
      <c r="AK939" s="26"/>
      <c r="AL939" s="26"/>
      <c r="AT939" s="28"/>
    </row>
    <row r="940" spans="33:46">
      <c r="AG940" s="26"/>
      <c r="AH940" s="26"/>
      <c r="AI940" s="26"/>
      <c r="AJ940" s="26"/>
      <c r="AK940" s="26"/>
      <c r="AL940" s="26"/>
      <c r="AT940" s="28"/>
    </row>
    <row r="941" spans="33:46">
      <c r="AG941" s="26"/>
      <c r="AH941" s="26"/>
      <c r="AI941" s="26"/>
      <c r="AJ941" s="26"/>
      <c r="AK941" s="26"/>
      <c r="AL941" s="26"/>
      <c r="AT941" s="28"/>
    </row>
    <row r="942" spans="33:46">
      <c r="AG942" s="26"/>
      <c r="AH942" s="26"/>
      <c r="AI942" s="26"/>
      <c r="AJ942" s="26"/>
      <c r="AK942" s="26"/>
      <c r="AL942" s="26"/>
      <c r="AT942" s="28"/>
    </row>
    <row r="943" spans="33:46">
      <c r="AG943" s="26"/>
      <c r="AH943" s="26"/>
      <c r="AI943" s="26"/>
      <c r="AJ943" s="26"/>
      <c r="AK943" s="26"/>
      <c r="AL943" s="26"/>
      <c r="AT943" s="28"/>
    </row>
    <row r="944" spans="33:46">
      <c r="AG944" s="26"/>
      <c r="AH944" s="26"/>
      <c r="AI944" s="26"/>
      <c r="AJ944" s="26"/>
      <c r="AK944" s="26"/>
      <c r="AL944" s="26"/>
      <c r="AT944" s="28"/>
    </row>
    <row r="945" spans="33:46">
      <c r="AG945" s="26"/>
      <c r="AH945" s="26"/>
      <c r="AI945" s="26"/>
      <c r="AJ945" s="26"/>
      <c r="AK945" s="26"/>
      <c r="AL945" s="26"/>
      <c r="AT945" s="28"/>
    </row>
    <row r="946" spans="33:46">
      <c r="AG946" s="26"/>
      <c r="AH946" s="26"/>
      <c r="AI946" s="26"/>
      <c r="AJ946" s="26"/>
      <c r="AK946" s="26"/>
      <c r="AL946" s="26"/>
      <c r="AT946" s="28"/>
    </row>
    <row r="947" spans="33:46">
      <c r="AG947" s="26"/>
      <c r="AH947" s="26"/>
      <c r="AI947" s="26"/>
      <c r="AJ947" s="26"/>
      <c r="AK947" s="26"/>
      <c r="AL947" s="26"/>
      <c r="AT947" s="28"/>
    </row>
    <row r="948" spans="33:46">
      <c r="AG948" s="26"/>
      <c r="AH948" s="26"/>
      <c r="AI948" s="26"/>
      <c r="AJ948" s="26"/>
      <c r="AK948" s="26"/>
      <c r="AL948" s="26"/>
      <c r="AT948" s="28"/>
    </row>
    <row r="949" spans="33:46">
      <c r="AG949" s="26"/>
      <c r="AH949" s="26"/>
      <c r="AI949" s="26"/>
      <c r="AJ949" s="26"/>
      <c r="AK949" s="26"/>
      <c r="AL949" s="26"/>
      <c r="AT949" s="28"/>
    </row>
    <row r="950" spans="33:46">
      <c r="AG950" s="26"/>
      <c r="AH950" s="26"/>
      <c r="AI950" s="26"/>
      <c r="AJ950" s="26"/>
      <c r="AK950" s="26"/>
      <c r="AL950" s="26"/>
      <c r="AT950" s="28"/>
    </row>
    <row r="951" spans="33:46">
      <c r="AG951" s="26"/>
      <c r="AH951" s="26"/>
      <c r="AI951" s="26"/>
      <c r="AJ951" s="26"/>
      <c r="AK951" s="26"/>
      <c r="AL951" s="26"/>
      <c r="AT951" s="28"/>
    </row>
    <row r="952" spans="33:46">
      <c r="AG952" s="26"/>
      <c r="AH952" s="26"/>
      <c r="AI952" s="26"/>
      <c r="AJ952" s="26"/>
      <c r="AK952" s="26"/>
      <c r="AL952" s="26"/>
      <c r="AT952" s="28"/>
    </row>
    <row r="953" spans="33:46">
      <c r="AG953" s="26"/>
      <c r="AH953" s="26"/>
      <c r="AI953" s="26"/>
      <c r="AJ953" s="26"/>
      <c r="AK953" s="26"/>
      <c r="AL953" s="26"/>
      <c r="AT953" s="28"/>
    </row>
    <row r="954" spans="33:46">
      <c r="AG954" s="26"/>
      <c r="AH954" s="26"/>
      <c r="AI954" s="26"/>
      <c r="AJ954" s="26"/>
      <c r="AK954" s="26"/>
      <c r="AL954" s="26"/>
      <c r="AT954" s="28"/>
    </row>
    <row r="955" spans="33:46">
      <c r="AG955" s="26"/>
      <c r="AH955" s="26"/>
      <c r="AI955" s="26"/>
      <c r="AJ955" s="26"/>
      <c r="AK955" s="26"/>
      <c r="AL955" s="26"/>
      <c r="AT955" s="28"/>
    </row>
    <row r="956" spans="33:46">
      <c r="AG956" s="26"/>
      <c r="AH956" s="26"/>
      <c r="AI956" s="26"/>
      <c r="AJ956" s="26"/>
      <c r="AK956" s="26"/>
      <c r="AL956" s="26"/>
      <c r="AT956" s="28"/>
    </row>
    <row r="957" spans="33:46">
      <c r="AG957" s="26"/>
      <c r="AH957" s="26"/>
      <c r="AI957" s="26"/>
      <c r="AJ957" s="26"/>
      <c r="AK957" s="26"/>
      <c r="AL957" s="26"/>
      <c r="AT957" s="28"/>
    </row>
    <row r="958" spans="33:46">
      <c r="AG958" s="26"/>
      <c r="AH958" s="26"/>
      <c r="AI958" s="26"/>
      <c r="AJ958" s="26"/>
      <c r="AK958" s="26"/>
      <c r="AL958" s="26"/>
      <c r="AT958" s="28"/>
    </row>
    <row r="959" spans="33:46">
      <c r="AG959" s="26"/>
      <c r="AH959" s="26"/>
      <c r="AI959" s="26"/>
      <c r="AJ959" s="26"/>
      <c r="AK959" s="26"/>
      <c r="AL959" s="26"/>
      <c r="AT959" s="28"/>
    </row>
    <row r="960" spans="33:46">
      <c r="AG960" s="26"/>
      <c r="AH960" s="26"/>
      <c r="AI960" s="26"/>
      <c r="AJ960" s="26"/>
      <c r="AK960" s="26"/>
      <c r="AL960" s="26"/>
      <c r="AT960" s="28"/>
    </row>
    <row r="961" spans="33:46">
      <c r="AG961" s="26"/>
      <c r="AH961" s="26"/>
      <c r="AI961" s="26"/>
      <c r="AJ961" s="26"/>
      <c r="AK961" s="26"/>
      <c r="AL961" s="26"/>
      <c r="AT961" s="28"/>
    </row>
    <row r="962" spans="33:46">
      <c r="AG962" s="26"/>
      <c r="AH962" s="26"/>
      <c r="AI962" s="26"/>
      <c r="AJ962" s="26"/>
      <c r="AK962" s="26"/>
      <c r="AL962" s="26"/>
      <c r="AT962" s="28"/>
    </row>
    <row r="963" spans="33:46">
      <c r="AG963" s="26"/>
      <c r="AH963" s="26"/>
      <c r="AI963" s="26"/>
      <c r="AJ963" s="26"/>
      <c r="AK963" s="26"/>
      <c r="AL963" s="26"/>
      <c r="AT963" s="28"/>
    </row>
    <row r="964" spans="33:46">
      <c r="AG964" s="26"/>
      <c r="AH964" s="26"/>
      <c r="AI964" s="26"/>
      <c r="AJ964" s="26"/>
      <c r="AK964" s="26"/>
      <c r="AL964" s="26"/>
      <c r="AT964" s="28"/>
    </row>
    <row r="965" spans="33:46">
      <c r="AG965" s="26"/>
      <c r="AH965" s="26"/>
      <c r="AI965" s="26"/>
      <c r="AJ965" s="26"/>
      <c r="AK965" s="26"/>
      <c r="AL965" s="26"/>
      <c r="AT965" s="28"/>
    </row>
    <row r="966" spans="33:46">
      <c r="AG966" s="26"/>
      <c r="AH966" s="26"/>
      <c r="AI966" s="26"/>
      <c r="AJ966" s="26"/>
      <c r="AK966" s="26"/>
      <c r="AL966" s="26"/>
      <c r="AT966" s="28"/>
    </row>
    <row r="967" spans="33:46">
      <c r="AG967" s="26"/>
      <c r="AH967" s="26"/>
      <c r="AI967" s="26"/>
      <c r="AJ967" s="26"/>
      <c r="AK967" s="26"/>
      <c r="AL967" s="26"/>
      <c r="AT967" s="28"/>
    </row>
    <row r="968" spans="33:46">
      <c r="AG968" s="26"/>
      <c r="AH968" s="26"/>
      <c r="AI968" s="26"/>
      <c r="AJ968" s="26"/>
      <c r="AK968" s="26"/>
      <c r="AL968" s="26"/>
      <c r="AT968" s="28"/>
    </row>
    <row r="969" spans="33:46">
      <c r="AG969" s="26"/>
      <c r="AH969" s="26"/>
      <c r="AI969" s="26"/>
      <c r="AJ969" s="26"/>
      <c r="AK969" s="26"/>
      <c r="AL969" s="26"/>
      <c r="AT969" s="28"/>
    </row>
    <row r="970" spans="33:46">
      <c r="AG970" s="26"/>
      <c r="AH970" s="26"/>
      <c r="AI970" s="26"/>
      <c r="AJ970" s="26"/>
      <c r="AK970" s="26"/>
      <c r="AL970" s="26"/>
      <c r="AT970" s="28"/>
    </row>
    <row r="971" spans="33:46">
      <c r="AG971" s="26"/>
      <c r="AH971" s="26"/>
      <c r="AI971" s="26"/>
      <c r="AJ971" s="26"/>
      <c r="AK971" s="26"/>
      <c r="AL971" s="26"/>
      <c r="AT971" s="28"/>
    </row>
    <row r="972" spans="33:46">
      <c r="AG972" s="26"/>
      <c r="AH972" s="26"/>
      <c r="AI972" s="26"/>
      <c r="AJ972" s="26"/>
      <c r="AK972" s="26"/>
      <c r="AL972" s="26"/>
      <c r="AT972" s="28"/>
    </row>
    <row r="973" spans="33:46">
      <c r="AG973" s="26"/>
      <c r="AH973" s="26"/>
      <c r="AI973" s="26"/>
      <c r="AJ973" s="26"/>
      <c r="AK973" s="26"/>
      <c r="AL973" s="26"/>
      <c r="AT973" s="28"/>
    </row>
    <row r="974" spans="33:46">
      <c r="AG974" s="26"/>
      <c r="AH974" s="26"/>
      <c r="AI974" s="26"/>
      <c r="AJ974" s="26"/>
      <c r="AK974" s="26"/>
      <c r="AL974" s="26"/>
      <c r="AT974" s="28"/>
    </row>
    <row r="975" spans="33:46">
      <c r="AG975" s="26"/>
      <c r="AH975" s="26"/>
      <c r="AI975" s="26"/>
      <c r="AJ975" s="26"/>
      <c r="AK975" s="26"/>
      <c r="AL975" s="26"/>
      <c r="AT975" s="28"/>
    </row>
    <row r="976" spans="33:46">
      <c r="AG976" s="26"/>
      <c r="AH976" s="26"/>
      <c r="AI976" s="26"/>
      <c r="AJ976" s="26"/>
      <c r="AK976" s="26"/>
      <c r="AL976" s="26"/>
      <c r="AT976" s="28"/>
    </row>
    <row r="977" spans="33:46">
      <c r="AG977" s="26"/>
      <c r="AH977" s="26"/>
      <c r="AI977" s="26"/>
      <c r="AJ977" s="26"/>
      <c r="AK977" s="26"/>
      <c r="AL977" s="26"/>
      <c r="AT977" s="28"/>
    </row>
    <row r="978" spans="33:46">
      <c r="AG978" s="26"/>
      <c r="AH978" s="26"/>
      <c r="AI978" s="26"/>
      <c r="AJ978" s="26"/>
      <c r="AK978" s="26"/>
      <c r="AL978" s="26"/>
      <c r="AT978" s="28"/>
    </row>
    <row r="979" spans="33:46">
      <c r="AG979" s="26"/>
      <c r="AH979" s="26"/>
      <c r="AI979" s="26"/>
      <c r="AJ979" s="26"/>
      <c r="AK979" s="26"/>
      <c r="AL979" s="26"/>
      <c r="AT979" s="28"/>
    </row>
    <row r="980" spans="33:46">
      <c r="AG980" s="26"/>
      <c r="AH980" s="26"/>
      <c r="AI980" s="26"/>
      <c r="AJ980" s="26"/>
      <c r="AK980" s="26"/>
      <c r="AL980" s="26"/>
      <c r="AT980" s="28"/>
    </row>
    <row r="981" spans="33:46">
      <c r="AG981" s="26"/>
      <c r="AH981" s="26"/>
      <c r="AI981" s="26"/>
      <c r="AJ981" s="26"/>
      <c r="AK981" s="26"/>
      <c r="AL981" s="26"/>
      <c r="AT981" s="28"/>
    </row>
    <row r="982" spans="33:46">
      <c r="AG982" s="26"/>
      <c r="AH982" s="26"/>
      <c r="AI982" s="26"/>
      <c r="AJ982" s="26"/>
      <c r="AK982" s="26"/>
      <c r="AL982" s="26"/>
      <c r="AT982" s="28"/>
    </row>
    <row r="983" spans="33:46">
      <c r="AG983" s="26"/>
      <c r="AH983" s="26"/>
      <c r="AI983" s="26"/>
      <c r="AJ983" s="26"/>
      <c r="AK983" s="26"/>
      <c r="AL983" s="26"/>
      <c r="AT983" s="28"/>
    </row>
    <row r="984" spans="33:46">
      <c r="AG984" s="26"/>
      <c r="AH984" s="26"/>
      <c r="AI984" s="26"/>
      <c r="AJ984" s="26"/>
      <c r="AK984" s="26"/>
      <c r="AL984" s="26"/>
      <c r="AT984" s="28"/>
    </row>
    <row r="985" spans="33:46">
      <c r="AG985" s="26"/>
      <c r="AH985" s="26"/>
      <c r="AI985" s="26"/>
      <c r="AJ985" s="26"/>
      <c r="AK985" s="26"/>
      <c r="AL985" s="26"/>
      <c r="AT985" s="28"/>
    </row>
    <row r="986" spans="33:46">
      <c r="AG986" s="26"/>
      <c r="AH986" s="26"/>
      <c r="AI986" s="26"/>
      <c r="AJ986" s="26"/>
      <c r="AK986" s="26"/>
      <c r="AL986" s="26"/>
      <c r="AT986" s="28"/>
    </row>
    <row r="987" spans="33:46">
      <c r="AG987" s="26"/>
      <c r="AH987" s="26"/>
      <c r="AI987" s="26"/>
      <c r="AJ987" s="26"/>
      <c r="AK987" s="26"/>
      <c r="AL987" s="26"/>
      <c r="AT987" s="28"/>
    </row>
    <row r="988" spans="33:46">
      <c r="AG988" s="26"/>
      <c r="AH988" s="26"/>
      <c r="AI988" s="26"/>
      <c r="AJ988" s="26"/>
      <c r="AK988" s="26"/>
      <c r="AL988" s="26"/>
      <c r="AT988" s="28"/>
    </row>
    <row r="989" spans="33:46">
      <c r="AG989" s="26"/>
      <c r="AH989" s="26"/>
      <c r="AI989" s="26"/>
      <c r="AJ989" s="26"/>
      <c r="AK989" s="26"/>
      <c r="AL989" s="26"/>
      <c r="AT989" s="28"/>
    </row>
    <row r="990" spans="33:46">
      <c r="AG990" s="26"/>
      <c r="AH990" s="26"/>
      <c r="AI990" s="26"/>
      <c r="AJ990" s="26"/>
      <c r="AK990" s="26"/>
      <c r="AL990" s="26"/>
      <c r="AT990" s="28"/>
    </row>
    <row r="991" spans="33:46">
      <c r="AG991" s="26"/>
      <c r="AH991" s="26"/>
      <c r="AI991" s="26"/>
      <c r="AJ991" s="26"/>
      <c r="AK991" s="26"/>
      <c r="AL991" s="26"/>
      <c r="AT991" s="28"/>
    </row>
    <row r="992" spans="33:46">
      <c r="AG992" s="26"/>
      <c r="AH992" s="26"/>
      <c r="AI992" s="26"/>
      <c r="AJ992" s="26"/>
      <c r="AK992" s="26"/>
      <c r="AL992" s="26"/>
      <c r="AT992" s="28"/>
    </row>
    <row r="993" spans="33:46">
      <c r="AG993" s="26"/>
      <c r="AH993" s="26"/>
      <c r="AI993" s="26"/>
      <c r="AJ993" s="26"/>
      <c r="AK993" s="26"/>
      <c r="AL993" s="26"/>
      <c r="AT993" s="28"/>
    </row>
    <row r="994" spans="33:46">
      <c r="AG994" s="26"/>
      <c r="AH994" s="26"/>
      <c r="AI994" s="26"/>
      <c r="AJ994" s="26"/>
      <c r="AK994" s="26"/>
      <c r="AL994" s="26"/>
      <c r="AT994" s="28"/>
    </row>
    <row r="995" spans="33:46">
      <c r="AG995" s="26"/>
      <c r="AH995" s="26"/>
      <c r="AI995" s="26"/>
      <c r="AJ995" s="26"/>
      <c r="AK995" s="26"/>
      <c r="AL995" s="26"/>
      <c r="AT995" s="28"/>
    </row>
    <row r="996" spans="33:46">
      <c r="AG996" s="26"/>
      <c r="AH996" s="26"/>
      <c r="AI996" s="26"/>
      <c r="AJ996" s="26"/>
      <c r="AK996" s="26"/>
      <c r="AL996" s="26"/>
      <c r="AT996" s="28"/>
    </row>
    <row r="997" spans="33:46">
      <c r="AG997" s="26"/>
      <c r="AH997" s="26"/>
      <c r="AI997" s="26"/>
      <c r="AJ997" s="26"/>
      <c r="AK997" s="26"/>
      <c r="AL997" s="26"/>
      <c r="AT997" s="28"/>
    </row>
    <row r="998" spans="33:46">
      <c r="AG998" s="26"/>
      <c r="AH998" s="26"/>
      <c r="AI998" s="26"/>
      <c r="AJ998" s="26"/>
      <c r="AK998" s="26"/>
      <c r="AL998" s="26"/>
      <c r="AT998" s="28"/>
    </row>
    <row r="999" spans="33:46">
      <c r="AG999" s="26"/>
      <c r="AH999" s="26"/>
      <c r="AI999" s="26"/>
      <c r="AJ999" s="26"/>
      <c r="AK999" s="26"/>
      <c r="AL999" s="26"/>
      <c r="AT999" s="28"/>
    </row>
    <row r="1000" spans="33:46">
      <c r="AG1000" s="26"/>
      <c r="AH1000" s="26"/>
      <c r="AI1000" s="26"/>
      <c r="AJ1000" s="26"/>
      <c r="AK1000" s="26"/>
      <c r="AL1000" s="26"/>
      <c r="AT1000" s="28"/>
    </row>
    <row r="1001" spans="33:46">
      <c r="AG1001" s="26"/>
      <c r="AH1001" s="26"/>
      <c r="AI1001" s="26"/>
      <c r="AJ1001" s="26"/>
      <c r="AK1001" s="26"/>
      <c r="AL1001" s="26"/>
      <c r="AT1001" s="28"/>
    </row>
    <row r="1002" spans="33:46">
      <c r="AG1002" s="26"/>
      <c r="AH1002" s="26"/>
      <c r="AI1002" s="26"/>
      <c r="AJ1002" s="26"/>
      <c r="AK1002" s="26"/>
      <c r="AL1002" s="26"/>
      <c r="AT1002" s="28"/>
    </row>
    <row r="1003" spans="33:46">
      <c r="AG1003" s="26"/>
      <c r="AH1003" s="26"/>
      <c r="AI1003" s="26"/>
      <c r="AJ1003" s="26"/>
      <c r="AK1003" s="26"/>
      <c r="AL1003" s="26"/>
      <c r="AT1003" s="28"/>
    </row>
    <row r="1004" spans="33:46">
      <c r="AG1004" s="26"/>
      <c r="AH1004" s="26"/>
      <c r="AI1004" s="26"/>
      <c r="AJ1004" s="26"/>
      <c r="AK1004" s="26"/>
      <c r="AL1004" s="26"/>
      <c r="AT1004" s="28"/>
    </row>
    <row r="1005" spans="33:46">
      <c r="AG1005" s="26"/>
      <c r="AH1005" s="26"/>
      <c r="AI1005" s="26"/>
      <c r="AJ1005" s="26"/>
      <c r="AK1005" s="26"/>
      <c r="AL1005" s="26"/>
      <c r="AT1005" s="28"/>
    </row>
    <row r="1006" spans="33:46">
      <c r="AG1006" s="26"/>
      <c r="AH1006" s="26"/>
      <c r="AI1006" s="26"/>
      <c r="AJ1006" s="26"/>
      <c r="AK1006" s="26"/>
      <c r="AL1006" s="26"/>
      <c r="AT1006" s="28"/>
    </row>
    <row r="1007" spans="33:46">
      <c r="AG1007" s="26"/>
      <c r="AH1007" s="26"/>
      <c r="AI1007" s="26"/>
      <c r="AJ1007" s="26"/>
      <c r="AK1007" s="26"/>
      <c r="AL1007" s="26"/>
      <c r="AT1007" s="28"/>
    </row>
    <row r="1008" spans="33:46">
      <c r="AG1008" s="26"/>
      <c r="AH1008" s="26"/>
      <c r="AI1008" s="26"/>
      <c r="AJ1008" s="26"/>
      <c r="AK1008" s="26"/>
      <c r="AL1008" s="26"/>
      <c r="AT1008" s="28"/>
    </row>
    <row r="1009" spans="33:46">
      <c r="AG1009" s="26"/>
      <c r="AH1009" s="26"/>
      <c r="AI1009" s="26"/>
      <c r="AJ1009" s="26"/>
      <c r="AK1009" s="26"/>
      <c r="AL1009" s="26"/>
      <c r="AT1009" s="28"/>
    </row>
    <row r="1010" spans="33:46">
      <c r="AG1010" s="26"/>
      <c r="AH1010" s="26"/>
      <c r="AI1010" s="26"/>
      <c r="AJ1010" s="26"/>
      <c r="AK1010" s="26"/>
      <c r="AL1010" s="26"/>
      <c r="AT1010" s="28"/>
    </row>
    <row r="1011" spans="33:46">
      <c r="AG1011" s="26"/>
      <c r="AH1011" s="26"/>
      <c r="AI1011" s="26"/>
      <c r="AJ1011" s="26"/>
      <c r="AK1011" s="26"/>
      <c r="AL1011" s="26"/>
      <c r="AT1011" s="28"/>
    </row>
    <row r="1012" spans="33:46">
      <c r="AG1012" s="26"/>
      <c r="AH1012" s="26"/>
      <c r="AI1012" s="26"/>
      <c r="AJ1012" s="26"/>
      <c r="AK1012" s="26"/>
      <c r="AL1012" s="26"/>
      <c r="AT1012" s="28"/>
    </row>
    <row r="1013" spans="33:46">
      <c r="AG1013" s="26"/>
      <c r="AH1013" s="26"/>
      <c r="AI1013" s="26"/>
      <c r="AJ1013" s="26"/>
      <c r="AK1013" s="26"/>
      <c r="AL1013" s="26"/>
      <c r="AT1013" s="28"/>
    </row>
    <row r="1014" spans="33:46">
      <c r="AG1014" s="26"/>
      <c r="AH1014" s="26"/>
      <c r="AI1014" s="26"/>
      <c r="AJ1014" s="26"/>
      <c r="AK1014" s="26"/>
      <c r="AL1014" s="26"/>
      <c r="AT1014" s="28"/>
    </row>
    <row r="1015" spans="33:46">
      <c r="AG1015" s="26"/>
      <c r="AH1015" s="26"/>
      <c r="AI1015" s="26"/>
      <c r="AJ1015" s="26"/>
      <c r="AK1015" s="26"/>
      <c r="AL1015" s="26"/>
      <c r="AT1015" s="28"/>
    </row>
    <row r="1016" spans="33:46">
      <c r="AG1016" s="26"/>
      <c r="AH1016" s="26"/>
      <c r="AI1016" s="26"/>
      <c r="AJ1016" s="26"/>
      <c r="AK1016" s="26"/>
      <c r="AL1016" s="26"/>
      <c r="AT1016" s="28"/>
    </row>
    <row r="1017" spans="33:46">
      <c r="AG1017" s="26"/>
      <c r="AH1017" s="26"/>
      <c r="AI1017" s="26"/>
      <c r="AJ1017" s="26"/>
      <c r="AK1017" s="26"/>
      <c r="AL1017" s="26"/>
      <c r="AT1017" s="28"/>
    </row>
    <row r="1018" spans="33:46">
      <c r="AG1018" s="26"/>
      <c r="AH1018" s="26"/>
      <c r="AI1018" s="26"/>
      <c r="AJ1018" s="26"/>
      <c r="AK1018" s="26"/>
      <c r="AL1018" s="26"/>
      <c r="AT1018" s="28"/>
    </row>
    <row r="1019" spans="33:46">
      <c r="AG1019" s="26"/>
      <c r="AH1019" s="26"/>
      <c r="AI1019" s="26"/>
      <c r="AJ1019" s="26"/>
      <c r="AK1019" s="26"/>
      <c r="AL1019" s="26"/>
      <c r="AT1019" s="28"/>
    </row>
    <row r="1020" spans="33:46">
      <c r="AG1020" s="26"/>
      <c r="AH1020" s="26"/>
      <c r="AI1020" s="26"/>
      <c r="AJ1020" s="26"/>
      <c r="AK1020" s="26"/>
      <c r="AL1020" s="26"/>
      <c r="AT1020" s="28"/>
    </row>
    <row r="1021" spans="33:46">
      <c r="AG1021" s="26"/>
      <c r="AH1021" s="26"/>
      <c r="AI1021" s="26"/>
      <c r="AJ1021" s="26"/>
      <c r="AK1021" s="26"/>
      <c r="AL1021" s="26"/>
      <c r="AT1021" s="28"/>
    </row>
    <row r="1022" spans="33:46">
      <c r="AG1022" s="26"/>
      <c r="AH1022" s="26"/>
      <c r="AI1022" s="26"/>
      <c r="AJ1022" s="26"/>
      <c r="AK1022" s="26"/>
      <c r="AL1022" s="26"/>
      <c r="AT1022" s="28"/>
    </row>
    <row r="1023" spans="33:46">
      <c r="AG1023" s="26"/>
      <c r="AH1023" s="26"/>
      <c r="AI1023" s="26"/>
      <c r="AJ1023" s="26"/>
      <c r="AK1023" s="26"/>
      <c r="AL1023" s="26"/>
      <c r="AT1023" s="28"/>
    </row>
    <row r="1024" spans="33:46">
      <c r="AG1024" s="26"/>
      <c r="AH1024" s="26"/>
      <c r="AI1024" s="26"/>
      <c r="AJ1024" s="26"/>
      <c r="AK1024" s="26"/>
      <c r="AL1024" s="26"/>
      <c r="AT1024" s="28"/>
    </row>
    <row r="1025" spans="33:46">
      <c r="AG1025" s="26"/>
      <c r="AH1025" s="26"/>
      <c r="AI1025" s="26"/>
      <c r="AJ1025" s="26"/>
      <c r="AK1025" s="26"/>
      <c r="AL1025" s="26"/>
      <c r="AT1025" s="28"/>
    </row>
    <row r="1026" spans="33:46">
      <c r="AG1026" s="26"/>
      <c r="AH1026" s="26"/>
      <c r="AI1026" s="26"/>
      <c r="AJ1026" s="26"/>
      <c r="AK1026" s="26"/>
      <c r="AL1026" s="26"/>
      <c r="AT1026" s="28"/>
    </row>
    <row r="1027" spans="33:46">
      <c r="AG1027" s="26"/>
      <c r="AH1027" s="26"/>
      <c r="AI1027" s="26"/>
      <c r="AJ1027" s="26"/>
      <c r="AK1027" s="26"/>
      <c r="AL1027" s="26"/>
      <c r="AT1027" s="28"/>
    </row>
    <row r="1028" spans="33:46">
      <c r="AG1028" s="26"/>
      <c r="AH1028" s="26"/>
      <c r="AI1028" s="26"/>
      <c r="AJ1028" s="26"/>
      <c r="AK1028" s="26"/>
      <c r="AL1028" s="26"/>
      <c r="AT1028" s="28"/>
    </row>
    <row r="1029" spans="33:46">
      <c r="AG1029" s="26"/>
      <c r="AH1029" s="26"/>
      <c r="AI1029" s="26"/>
      <c r="AJ1029" s="26"/>
      <c r="AK1029" s="26"/>
      <c r="AL1029" s="26"/>
      <c r="AT1029" s="28"/>
    </row>
    <row r="1030" spans="33:46">
      <c r="AG1030" s="26"/>
      <c r="AH1030" s="26"/>
      <c r="AI1030" s="26"/>
      <c r="AJ1030" s="26"/>
      <c r="AK1030" s="26"/>
      <c r="AL1030" s="26"/>
      <c r="AT1030" s="28"/>
    </row>
    <row r="1031" spans="33:46">
      <c r="AG1031" s="26"/>
      <c r="AH1031" s="26"/>
      <c r="AI1031" s="26"/>
      <c r="AJ1031" s="26"/>
      <c r="AK1031" s="26"/>
      <c r="AL1031" s="26"/>
      <c r="AT1031" s="28"/>
    </row>
    <row r="1032" spans="33:46">
      <c r="AG1032" s="26"/>
      <c r="AH1032" s="26"/>
      <c r="AI1032" s="26"/>
      <c r="AJ1032" s="26"/>
      <c r="AK1032" s="26"/>
      <c r="AL1032" s="26"/>
      <c r="AT1032" s="28"/>
    </row>
    <row r="1033" spans="33:46">
      <c r="AG1033" s="26"/>
      <c r="AH1033" s="26"/>
      <c r="AI1033" s="26"/>
      <c r="AJ1033" s="26"/>
      <c r="AK1033" s="26"/>
      <c r="AL1033" s="26"/>
      <c r="AT1033" s="28"/>
    </row>
    <row r="1034" spans="33:46">
      <c r="AG1034" s="26"/>
      <c r="AH1034" s="26"/>
      <c r="AI1034" s="26"/>
      <c r="AJ1034" s="26"/>
      <c r="AK1034" s="26"/>
      <c r="AL1034" s="26"/>
      <c r="AT1034" s="28"/>
    </row>
    <row r="1035" spans="33:46">
      <c r="AG1035" s="26"/>
      <c r="AH1035" s="26"/>
      <c r="AI1035" s="26"/>
      <c r="AJ1035" s="26"/>
      <c r="AK1035" s="26"/>
      <c r="AL1035" s="26"/>
      <c r="AT1035" s="28"/>
    </row>
    <row r="1036" spans="33:46">
      <c r="AG1036" s="26"/>
      <c r="AH1036" s="26"/>
      <c r="AI1036" s="26"/>
      <c r="AJ1036" s="26"/>
      <c r="AK1036" s="26"/>
      <c r="AL1036" s="26"/>
      <c r="AT1036" s="28"/>
    </row>
    <row r="1037" spans="33:46">
      <c r="AG1037" s="26"/>
      <c r="AH1037" s="26"/>
      <c r="AI1037" s="26"/>
      <c r="AJ1037" s="26"/>
      <c r="AK1037" s="26"/>
      <c r="AL1037" s="26"/>
      <c r="AT1037" s="28"/>
    </row>
    <row r="1038" spans="33:46">
      <c r="AG1038" s="26"/>
      <c r="AH1038" s="26"/>
      <c r="AI1038" s="26"/>
      <c r="AJ1038" s="26"/>
      <c r="AK1038" s="26"/>
      <c r="AL1038" s="26"/>
      <c r="AT1038" s="28"/>
    </row>
    <row r="1039" spans="33:46">
      <c r="AG1039" s="26"/>
      <c r="AH1039" s="26"/>
      <c r="AI1039" s="26"/>
      <c r="AJ1039" s="26"/>
      <c r="AK1039" s="26"/>
      <c r="AL1039" s="26"/>
      <c r="AT1039" s="28"/>
    </row>
    <row r="1040" spans="33:46">
      <c r="AG1040" s="26"/>
      <c r="AH1040" s="26"/>
      <c r="AI1040" s="26"/>
      <c r="AJ1040" s="26"/>
      <c r="AK1040" s="26"/>
      <c r="AL1040" s="26"/>
      <c r="AT1040" s="28"/>
    </row>
    <row r="1041" spans="33:46">
      <c r="AG1041" s="26"/>
      <c r="AH1041" s="26"/>
      <c r="AI1041" s="26"/>
      <c r="AJ1041" s="26"/>
      <c r="AK1041" s="26"/>
      <c r="AL1041" s="26"/>
      <c r="AT1041" s="28"/>
    </row>
    <row r="1042" spans="33:46">
      <c r="AG1042" s="26"/>
      <c r="AH1042" s="26"/>
      <c r="AI1042" s="26"/>
      <c r="AJ1042" s="26"/>
      <c r="AK1042" s="26"/>
      <c r="AL1042" s="26"/>
      <c r="AT1042" s="28"/>
    </row>
    <row r="1043" spans="33:46">
      <c r="AG1043" s="26"/>
      <c r="AH1043" s="26"/>
      <c r="AI1043" s="26"/>
      <c r="AJ1043" s="26"/>
      <c r="AK1043" s="26"/>
      <c r="AL1043" s="26"/>
      <c r="AT1043" s="28"/>
    </row>
    <row r="1044" spans="33:46">
      <c r="AG1044" s="26"/>
      <c r="AH1044" s="26"/>
      <c r="AI1044" s="26"/>
      <c r="AJ1044" s="26"/>
      <c r="AK1044" s="26"/>
      <c r="AL1044" s="26"/>
      <c r="AT1044" s="28"/>
    </row>
    <row r="1045" spans="33:46">
      <c r="AG1045" s="26"/>
      <c r="AH1045" s="26"/>
      <c r="AI1045" s="26"/>
      <c r="AJ1045" s="26"/>
      <c r="AK1045" s="26"/>
      <c r="AL1045" s="26"/>
      <c r="AT1045" s="28"/>
    </row>
    <row r="1046" spans="33:46">
      <c r="AG1046" s="26"/>
      <c r="AH1046" s="26"/>
      <c r="AI1046" s="26"/>
      <c r="AJ1046" s="26"/>
      <c r="AK1046" s="26"/>
      <c r="AL1046" s="26"/>
      <c r="AT1046" s="28"/>
    </row>
    <row r="1047" spans="33:46">
      <c r="AG1047" s="26"/>
      <c r="AH1047" s="26"/>
      <c r="AI1047" s="26"/>
      <c r="AJ1047" s="26"/>
      <c r="AK1047" s="26"/>
      <c r="AL1047" s="26"/>
      <c r="AT1047" s="28"/>
    </row>
  </sheetData>
  <autoFilter ref="A4:BO202" xr:uid="{00000000-0001-0000-0700-000000000000}">
    <sortState xmlns:xlrd2="http://schemas.microsoft.com/office/spreadsheetml/2017/richdata2" ref="A5:BO193">
      <sortCondition ref="G4:G193"/>
    </sortState>
  </autoFilter>
  <mergeCells count="3">
    <mergeCell ref="BP2:BS2"/>
    <mergeCell ref="BT2:BW2"/>
    <mergeCell ref="BF1:BG1"/>
  </mergeCells>
  <phoneticPr fontId="58" type="noConversion"/>
  <conditionalFormatting sqref="A182:A185">
    <cfRule type="iconSet" priority="38">
      <iconSet iconSet="3Flags">
        <cfvo type="percent" val="0"/>
        <cfvo type="percent" val="33"/>
        <cfvo type="percent" val="67"/>
      </iconSet>
    </cfRule>
  </conditionalFormatting>
  <conditionalFormatting sqref="A128:C131">
    <cfRule type="iconSet" priority="27">
      <iconSet iconSet="3Flags">
        <cfvo type="percent" val="0"/>
        <cfvo type="percent" val="33"/>
        <cfvo type="percent" val="67"/>
      </iconSet>
    </cfRule>
  </conditionalFormatting>
  <conditionalFormatting sqref="A139:C143">
    <cfRule type="iconSet" priority="21">
      <iconSet iconSet="3Flags">
        <cfvo type="percent" val="0"/>
        <cfvo type="percent" val="33"/>
        <cfvo type="percent" val="67"/>
      </iconSet>
    </cfRule>
  </conditionalFormatting>
  <conditionalFormatting sqref="A186:D186">
    <cfRule type="iconSet" priority="31">
      <iconSet iconSet="3Flags">
        <cfvo type="percent" val="0"/>
        <cfvo type="percent" val="33"/>
        <cfvo type="percent" val="67"/>
      </iconSet>
    </cfRule>
  </conditionalFormatting>
  <conditionalFormatting sqref="A187:D193">
    <cfRule type="iconSet" priority="35">
      <iconSet iconSet="3Flags">
        <cfvo type="percent" val="0"/>
        <cfvo type="percent" val="33"/>
        <cfvo type="percent" val="67"/>
      </iconSet>
    </cfRule>
  </conditionalFormatting>
  <conditionalFormatting sqref="A194:D194">
    <cfRule type="iconSet" priority="18">
      <iconSet iconSet="3Flags">
        <cfvo type="percent" val="0"/>
        <cfvo type="percent" val="33"/>
        <cfvo type="percent" val="67"/>
      </iconSet>
    </cfRule>
  </conditionalFormatting>
  <conditionalFormatting sqref="A3:E3">
    <cfRule type="iconSet" priority="30">
      <iconSet iconSet="3Flags">
        <cfvo type="percent" val="0"/>
        <cfvo type="percent" val="33"/>
        <cfvo type="percent" val="67"/>
      </iconSet>
    </cfRule>
  </conditionalFormatting>
  <conditionalFormatting sqref="A195:E1048576 A1:E1 A4:E4 A132:C138 A144:C181 A5:C127">
    <cfRule type="iconSet" priority="50">
      <iconSet iconSet="3Flags">
        <cfvo type="percent" val="0"/>
        <cfvo type="percent" val="33"/>
        <cfvo type="percent" val="67"/>
      </iconSet>
    </cfRule>
  </conditionalFormatting>
  <conditionalFormatting sqref="B182:B185">
    <cfRule type="iconSet" priority="39">
      <iconSet iconSet="3Flags">
        <cfvo type="percent" val="0"/>
        <cfvo type="percent" val="33"/>
        <cfvo type="percent" val="67"/>
      </iconSet>
    </cfRule>
  </conditionalFormatting>
  <conditionalFormatting sqref="C182:C185">
    <cfRule type="iconSet" priority="33">
      <iconSet iconSet="3Flags">
        <cfvo type="percent" val="0"/>
        <cfvo type="percent" val="33"/>
        <cfvo type="percent" val="67"/>
      </iconSet>
    </cfRule>
  </conditionalFormatting>
  <conditionalFormatting sqref="D182:D185">
    <cfRule type="iconSet" priority="40">
      <iconSet iconSet="3Flags">
        <cfvo type="percent" val="0"/>
        <cfvo type="percent" val="33"/>
        <cfvo type="percent" val="67"/>
      </iconSet>
    </cfRule>
  </conditionalFormatting>
  <conditionalFormatting sqref="W161:W162">
    <cfRule type="iconSet" priority="45">
      <iconSet iconSet="3Flags">
        <cfvo type="percent" val="0"/>
        <cfvo type="percent" val="33"/>
        <cfvo type="percent" val="67"/>
      </iconSet>
    </cfRule>
  </conditionalFormatting>
  <conditionalFormatting sqref="X128:X131">
    <cfRule type="iconSet" priority="28">
      <iconSet iconSet="3Flags">
        <cfvo type="percent" val="0"/>
        <cfvo type="percent" val="33"/>
        <cfvo type="percent" val="67"/>
      </iconSet>
    </cfRule>
  </conditionalFormatting>
  <conditionalFormatting sqref="X139:X143">
    <cfRule type="iconSet" priority="22">
      <iconSet iconSet="3Flags">
        <cfvo type="percent" val="0"/>
        <cfvo type="percent" val="33"/>
        <cfvo type="percent" val="67"/>
      </iconSet>
    </cfRule>
  </conditionalFormatting>
  <conditionalFormatting sqref="X163:X178 X132:X138 X144:X160 X5:X127">
    <cfRule type="iconSet" priority="86">
      <iconSet iconSet="3Flags">
        <cfvo type="percent" val="0"/>
        <cfvo type="percent" val="33"/>
        <cfvo type="percent" val="67"/>
      </iconSet>
    </cfRule>
  </conditionalFormatting>
  <conditionalFormatting sqref="X182:X185">
    <cfRule type="iconSet" priority="41">
      <iconSet iconSet="3Flags">
        <cfvo type="percent" val="0"/>
        <cfvo type="percent" val="33"/>
        <cfvo type="percent" val="67"/>
      </iconSet>
    </cfRule>
  </conditionalFormatting>
  <conditionalFormatting sqref="X186:X194">
    <cfRule type="iconSet" priority="36">
      <iconSet iconSet="3Flags">
        <cfvo type="percent" val="0"/>
        <cfvo type="percent" val="33"/>
        <cfvo type="percent" val="67"/>
      </iconSet>
    </cfRule>
  </conditionalFormatting>
  <conditionalFormatting sqref="AA1:AA201 AA203:AA1048576">
    <cfRule type="expression" dxfId="12" priority="19">
      <formula>AND(ISNUMBER(SEARCH("CO", AA1)), ISERR(SEARCH("CO2", AA1)))</formula>
    </cfRule>
  </conditionalFormatting>
  <conditionalFormatting sqref="AB134">
    <cfRule type="expression" dxfId="11" priority="17">
      <formula>AND(ISNUMBER(SEARCH("CO", AB134)), ISERR(SEARCH("CO2", AB134)))</formula>
    </cfRule>
  </conditionalFormatting>
  <conditionalFormatting sqref="AB196:AB199">
    <cfRule type="expression" dxfId="10" priority="16">
      <formula>AND(ISNUMBER(SEARCH("CO", AB196)), ISERR(SEARCH("CO2", AB196)))</formula>
    </cfRule>
  </conditionalFormatting>
  <conditionalFormatting sqref="AB201">
    <cfRule type="expression" dxfId="9" priority="2">
      <formula>AND(ISNUMBER(SEARCH("CO", AB201)), ISERR(SEARCH("CO2", AB201)))</formula>
    </cfRule>
  </conditionalFormatting>
  <conditionalFormatting sqref="AG1:AG1048576 AK195:BE195">
    <cfRule type="expression" dxfId="8" priority="20">
      <formula>AND(ISNUMBER(SEARCH("CO", AG1)), ISERR(SEARCH("CO2", AG1)))</formula>
    </cfRule>
  </conditionalFormatting>
  <conditionalFormatting sqref="AH202">
    <cfRule type="expression" dxfId="7" priority="13">
      <formula>AND(ISNUMBER(SEARCH("CO", AH202)), ISERR(SEARCH("CO2", AH202)))</formula>
    </cfRule>
  </conditionalFormatting>
  <conditionalFormatting sqref="AH195:AI195">
    <cfRule type="expression" dxfId="6" priority="15">
      <formula>AND(ISNUMBER(SEARCH("CO", AH195)), ISERR(SEARCH("CO2", AH195)))</formula>
    </cfRule>
  </conditionalFormatting>
  <conditionalFormatting sqref="AH200:AK200 AH201:AJ201">
    <cfRule type="expression" dxfId="5" priority="6">
      <formula>AND(ISNUMBER(SEARCH("CO", AH200)), ISERR(SEARCH("CO2", AH200)))</formula>
    </cfRule>
  </conditionalFormatting>
  <conditionalFormatting sqref="AH196:BE199">
    <cfRule type="expression" dxfId="4" priority="8">
      <formula>AND(ISNUMBER(SEARCH("CO", AH196)), ISERR(SEARCH("CO2", AH196)))</formula>
    </cfRule>
  </conditionalFormatting>
  <conditionalFormatting sqref="AI202:AI209">
    <cfRule type="expression" dxfId="3" priority="3">
      <formula>AND(ISNUMBER(SEARCH("CO", AI202)), ISERR(SEARCH("CO2", AI202)))</formula>
    </cfRule>
  </conditionalFormatting>
  <conditionalFormatting sqref="AK201:AK208">
    <cfRule type="expression" dxfId="2" priority="5">
      <formula>AND(ISNUMBER(SEARCH("CO", AK201)), ISERR(SEARCH("CO2", AK201)))</formula>
    </cfRule>
  </conditionalFormatting>
  <conditionalFormatting sqref="AL200:AL208">
    <cfRule type="expression" dxfId="1" priority="4">
      <formula>AND(ISNUMBER(SEARCH("CO", AL200)), ISERR(SEARCH("CO2", AL200)))</formula>
    </cfRule>
  </conditionalFormatting>
  <conditionalFormatting sqref="AO200:AO202">
    <cfRule type="expression" dxfId="0" priority="1">
      <formula>AND(ISNUMBER(SEARCH("CO", AO200)), ISERR(SEARCH("CO2", AO200)))</formula>
    </cfRule>
  </conditionalFormatting>
  <conditionalFormatting sqref="AY161:AZ162 AZ163:BA178 AZ132:BA138 AZ144:BA160 AZ34:AZ37 AZ5:BA33 AZ38:BA127">
    <cfRule type="iconSet" priority="88">
      <iconSet iconSet="3Flags">
        <cfvo type="percent" val="0"/>
        <cfvo type="percent" val="33"/>
        <cfvo type="percent" val="67"/>
      </iconSet>
    </cfRule>
  </conditionalFormatting>
  <conditionalFormatting sqref="AZ182:AZ185">
    <cfRule type="iconSet" priority="34">
      <iconSet iconSet="3Flags">
        <cfvo type="percent" val="0"/>
        <cfvo type="percent" val="33"/>
        <cfvo type="percent" val="67"/>
      </iconSet>
    </cfRule>
  </conditionalFormatting>
  <conditionalFormatting sqref="AZ186">
    <cfRule type="iconSet" priority="32">
      <iconSet iconSet="3Flags">
        <cfvo type="percent" val="0"/>
        <cfvo type="percent" val="33"/>
        <cfvo type="percent" val="67"/>
      </iconSet>
    </cfRule>
  </conditionalFormatting>
  <conditionalFormatting sqref="AZ187:AZ194">
    <cfRule type="iconSet" priority="37">
      <iconSet iconSet="3Flags">
        <cfvo type="percent" val="0"/>
        <cfvo type="percent" val="33"/>
        <cfvo type="percent" val="67"/>
      </iconSet>
    </cfRule>
  </conditionalFormatting>
  <conditionalFormatting sqref="AZ128:BA131">
    <cfRule type="iconSet" priority="29">
      <iconSet iconSet="3Flags">
        <cfvo type="percent" val="0"/>
        <cfvo type="percent" val="33"/>
        <cfvo type="percent" val="67"/>
      </iconSet>
    </cfRule>
  </conditionalFormatting>
  <conditionalFormatting sqref="AZ139:BA143">
    <cfRule type="iconSet" priority="23">
      <iconSet iconSet="3Flags">
        <cfvo type="percent" val="0"/>
        <cfvo type="percent" val="33"/>
        <cfvo type="percent" val="67"/>
      </iconSet>
    </cfRule>
  </conditionalFormatting>
  <hyperlinks>
    <hyperlink ref="H166" r:id="rId1" xr:uid="{A1D3EC82-F970-46F7-B678-6DEBC29F0929}"/>
    <hyperlink ref="BN117" r:id="rId2" xr:uid="{992B8537-118F-4416-8CF2-64674074E013}"/>
    <hyperlink ref="BN114" r:id="rId3" xr:uid="{1DAA5FBD-E12C-4382-A54C-A9ED82DA7EE8}"/>
    <hyperlink ref="BN116" r:id="rId4" xr:uid="{BC3FDC81-C680-47D2-99B7-7E321E67CA87}"/>
    <hyperlink ref="BN115" r:id="rId5" xr:uid="{C17C04F1-0E23-4570-B431-5244AD786F39}"/>
  </hyperlinks>
  <pageMargins left="0" right="0" top="0" bottom="0" header="0" footer="0"/>
  <pageSetup paperSize="9" orientation="portrait" r:id="rId6"/>
  <drawing r:id="rId7"/>
  <legacyDrawing r:id="rId8"/>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2A7C-8AB0-4517-A3BB-C7B1DFED0547}">
  <sheetPr>
    <tabColor theme="8" tint="0.59999389629810485"/>
  </sheetPr>
  <dimension ref="A1:AW25"/>
  <sheetViews>
    <sheetView zoomScale="72" zoomScaleNormal="115" workbookViewId="0">
      <pane xSplit="5" ySplit="3" topLeftCell="F25" activePane="bottomRight" state="frozen"/>
      <selection pane="topRight" activeCell="F1" sqref="F1"/>
      <selection pane="bottomLeft" activeCell="A4" sqref="A4"/>
      <selection pane="bottomRight" activeCell="O74" sqref="O74"/>
    </sheetView>
  </sheetViews>
  <sheetFormatPr defaultColWidth="8.5546875" defaultRowHeight="16.350000000000001" customHeight="1"/>
  <cols>
    <col min="1" max="1" width="8.5546875" style="18" customWidth="1"/>
    <col min="2" max="3" width="13.44140625" style="18" customWidth="1"/>
    <col min="4" max="4" width="11.5546875" style="18" customWidth="1"/>
    <col min="5" max="5" width="36.44140625" bestFit="1" customWidth="1"/>
    <col min="6" max="6" width="15.5546875" bestFit="1" customWidth="1"/>
    <col min="7" max="7" width="14.5546875" customWidth="1"/>
    <col min="8" max="8" width="46.5546875" customWidth="1"/>
    <col min="9" max="9" width="14" bestFit="1" customWidth="1"/>
    <col min="10" max="10" width="16.44140625" customWidth="1"/>
    <col min="11" max="11" width="16.5546875" customWidth="1"/>
    <col min="12" max="12" width="12" customWidth="1"/>
    <col min="13" max="14" width="13.44140625" customWidth="1"/>
    <col min="15" max="15" width="11" bestFit="1" customWidth="1"/>
    <col min="16" max="16" width="15.44140625" customWidth="1"/>
    <col min="17" max="18" width="15.5546875" customWidth="1"/>
    <col min="19" max="19" width="18.44140625" customWidth="1"/>
    <col min="20" max="20" width="12.5546875" bestFit="1" customWidth="1"/>
    <col min="21" max="24" width="18" customWidth="1"/>
    <col min="25" max="25" width="16.44140625" customWidth="1"/>
    <col min="26" max="26" width="16.5546875" customWidth="1"/>
    <col min="27" max="27" width="17.44140625" customWidth="1"/>
    <col min="28" max="31" width="16.44140625" customWidth="1"/>
    <col min="32" max="32" width="15.44140625" bestFit="1" customWidth="1"/>
    <col min="33" max="33" width="14.5546875" customWidth="1"/>
    <col min="34" max="34" width="18.5546875" customWidth="1"/>
    <col min="35" max="35" width="16" customWidth="1"/>
    <col min="36" max="36" width="18.5546875" customWidth="1"/>
    <col min="37" max="37" width="21" customWidth="1"/>
    <col min="38" max="40" width="16" customWidth="1"/>
    <col min="41" max="41" width="12" customWidth="1"/>
    <col min="42" max="42" width="9.5546875" customWidth="1"/>
    <col min="43" max="43" width="13.44140625" customWidth="1"/>
    <col min="44" max="44" width="12.44140625" customWidth="1"/>
    <col min="45" max="45" width="90.44140625" customWidth="1"/>
    <col min="46" max="46" width="12" bestFit="1" customWidth="1"/>
  </cols>
  <sheetData>
    <row r="1" spans="1:49" ht="21">
      <c r="A1" s="32" t="s">
        <v>1298</v>
      </c>
      <c r="B1" s="33"/>
      <c r="C1" s="33"/>
      <c r="D1" s="33"/>
      <c r="E1" s="36" t="s">
        <v>1299</v>
      </c>
      <c r="F1" s="36"/>
      <c r="G1" s="36"/>
      <c r="H1" s="36"/>
      <c r="I1" s="36"/>
      <c r="J1" s="36"/>
      <c r="K1" s="36"/>
      <c r="L1" s="36"/>
      <c r="M1" s="36"/>
      <c r="N1" s="36"/>
      <c r="O1" s="36"/>
      <c r="P1" s="36"/>
      <c r="Q1" s="36"/>
      <c r="R1" s="36"/>
      <c r="S1" s="36"/>
      <c r="T1" s="36"/>
      <c r="U1" s="35" t="s">
        <v>1301</v>
      </c>
      <c r="V1" s="35"/>
      <c r="W1" s="35"/>
      <c r="X1" s="35"/>
      <c r="Y1" s="35"/>
      <c r="Z1" s="35"/>
      <c r="AA1" s="35"/>
      <c r="AB1" s="35"/>
      <c r="AC1" s="35"/>
      <c r="AD1" s="35"/>
      <c r="AE1" s="35"/>
      <c r="AF1" s="35"/>
      <c r="AG1" s="34" t="s">
        <v>1302</v>
      </c>
      <c r="AH1" s="34"/>
      <c r="AI1" s="34"/>
      <c r="AJ1" s="34"/>
      <c r="AK1" s="34"/>
      <c r="AL1" s="34"/>
      <c r="AM1" s="44" t="s">
        <v>1303</v>
      </c>
      <c r="AN1" s="44"/>
      <c r="AO1" s="39" t="s">
        <v>1304</v>
      </c>
      <c r="AP1" s="39"/>
      <c r="AQ1" s="39"/>
      <c r="AR1" s="39"/>
      <c r="AS1" s="44" t="s">
        <v>1182</v>
      </c>
    </row>
    <row r="2" spans="1:49" ht="36.6" customHeight="1">
      <c r="A2" s="69" t="s">
        <v>1305</v>
      </c>
      <c r="B2" s="69" t="s">
        <v>1306</v>
      </c>
      <c r="C2" s="69" t="s">
        <v>1306</v>
      </c>
      <c r="D2" s="69" t="s">
        <v>1305</v>
      </c>
      <c r="E2" s="69" t="s">
        <v>711</v>
      </c>
      <c r="F2" s="69" t="s">
        <v>715</v>
      </c>
      <c r="G2" s="69" t="s">
        <v>1307</v>
      </c>
      <c r="H2" s="69" t="s">
        <v>714</v>
      </c>
      <c r="I2" s="69" t="s">
        <v>717</v>
      </c>
      <c r="J2" s="69" t="s">
        <v>718</v>
      </c>
      <c r="K2" s="69" t="s">
        <v>719</v>
      </c>
      <c r="L2" s="69" t="s">
        <v>720</v>
      </c>
      <c r="M2" s="69" t="s">
        <v>1309</v>
      </c>
      <c r="N2" s="69" t="s">
        <v>1310</v>
      </c>
      <c r="O2" s="69" t="s">
        <v>1064</v>
      </c>
      <c r="P2" s="69" t="s">
        <v>1311</v>
      </c>
      <c r="Q2" s="69" t="s">
        <v>1310</v>
      </c>
      <c r="R2" s="69" t="s">
        <v>1313</v>
      </c>
      <c r="S2" s="69" t="s">
        <v>1314</v>
      </c>
      <c r="T2" s="69" t="s">
        <v>1312</v>
      </c>
      <c r="U2" s="69" t="s">
        <v>1372</v>
      </c>
      <c r="V2" s="69" t="s">
        <v>1373</v>
      </c>
      <c r="W2" s="69" t="s">
        <v>1316</v>
      </c>
      <c r="X2" s="69" t="s">
        <v>1317</v>
      </c>
      <c r="Y2" s="69" t="s">
        <v>1351</v>
      </c>
      <c r="Z2" s="69" t="s">
        <v>1315</v>
      </c>
      <c r="AA2" s="69" t="s">
        <v>1315</v>
      </c>
      <c r="AB2" s="69" t="s">
        <v>1315</v>
      </c>
      <c r="AC2" s="69" t="s">
        <v>1315</v>
      </c>
      <c r="AD2" s="69" t="s">
        <v>1315</v>
      </c>
      <c r="AE2" s="69" t="s">
        <v>1315</v>
      </c>
      <c r="AF2" s="69" t="s">
        <v>2168</v>
      </c>
      <c r="AG2" s="69" t="s">
        <v>1322</v>
      </c>
      <c r="AH2" s="69" t="s">
        <v>104</v>
      </c>
      <c r="AI2" s="69" t="s">
        <v>2169</v>
      </c>
      <c r="AJ2" s="69" t="s">
        <v>1324</v>
      </c>
      <c r="AK2" s="69" t="s">
        <v>2170</v>
      </c>
      <c r="AL2" s="69" t="s">
        <v>1315</v>
      </c>
      <c r="AM2" s="69" t="s">
        <v>1305</v>
      </c>
      <c r="AN2" s="69" t="s">
        <v>1379</v>
      </c>
      <c r="AO2" s="69" t="s">
        <v>1061</v>
      </c>
      <c r="AP2" s="69" t="s">
        <v>1328</v>
      </c>
      <c r="AQ2" s="69" t="s">
        <v>2171</v>
      </c>
      <c r="AR2" s="69" t="s">
        <v>1065</v>
      </c>
      <c r="AS2" s="69" t="s">
        <v>1330</v>
      </c>
      <c r="AT2" s="70"/>
      <c r="AU2" s="70"/>
      <c r="AV2" s="70"/>
      <c r="AW2" s="18"/>
    </row>
    <row r="3" spans="1:49" ht="46.8">
      <c r="A3" s="19" t="s">
        <v>1331</v>
      </c>
      <c r="B3" s="19" t="s">
        <v>1332</v>
      </c>
      <c r="C3" s="19" t="s">
        <v>1333</v>
      </c>
      <c r="D3" s="19" t="s">
        <v>1334</v>
      </c>
      <c r="E3" s="30" t="s">
        <v>77</v>
      </c>
      <c r="F3" s="19" t="s">
        <v>81</v>
      </c>
      <c r="G3" s="19" t="s">
        <v>84</v>
      </c>
      <c r="H3" s="19" t="s">
        <v>7</v>
      </c>
      <c r="I3" s="19" t="s">
        <v>86</v>
      </c>
      <c r="J3" s="19" t="s">
        <v>89</v>
      </c>
      <c r="K3" s="19" t="s">
        <v>91</v>
      </c>
      <c r="L3" s="19" t="s">
        <v>93</v>
      </c>
      <c r="M3" s="19" t="s">
        <v>96</v>
      </c>
      <c r="N3" s="19" t="s">
        <v>99</v>
      </c>
      <c r="O3" s="19" t="s">
        <v>101</v>
      </c>
      <c r="P3" s="19" t="s">
        <v>104</v>
      </c>
      <c r="Q3" s="19" t="s">
        <v>107</v>
      </c>
      <c r="R3" s="19" t="s">
        <v>112</v>
      </c>
      <c r="S3" s="19" t="s">
        <v>115</v>
      </c>
      <c r="T3" s="19" t="s">
        <v>99</v>
      </c>
      <c r="U3" s="19" t="s">
        <v>119</v>
      </c>
      <c r="V3" s="19" t="s">
        <v>121</v>
      </c>
      <c r="W3" s="19" t="s">
        <v>123</v>
      </c>
      <c r="X3" s="19" t="s">
        <v>194</v>
      </c>
      <c r="Y3" s="21" t="s">
        <v>142</v>
      </c>
      <c r="Z3" s="19" t="s">
        <v>197</v>
      </c>
      <c r="AA3" s="19" t="s">
        <v>199</v>
      </c>
      <c r="AB3" s="19" t="s">
        <v>201</v>
      </c>
      <c r="AC3" s="19" t="s">
        <v>203</v>
      </c>
      <c r="AD3" s="19" t="s">
        <v>205</v>
      </c>
      <c r="AE3" s="19" t="s">
        <v>207</v>
      </c>
      <c r="AF3" s="19" t="s">
        <v>208</v>
      </c>
      <c r="AG3" s="21" t="s">
        <v>145</v>
      </c>
      <c r="AH3" s="21" t="s">
        <v>148</v>
      </c>
      <c r="AI3" s="22" t="s">
        <v>209</v>
      </c>
      <c r="AJ3" s="21" t="s">
        <v>154</v>
      </c>
      <c r="AK3" s="21" t="s">
        <v>210</v>
      </c>
      <c r="AL3" s="21" t="s">
        <v>166</v>
      </c>
      <c r="AM3" s="21" t="s">
        <v>169</v>
      </c>
      <c r="AN3" s="21" t="s">
        <v>1397</v>
      </c>
      <c r="AO3" s="19" t="s">
        <v>173</v>
      </c>
      <c r="AP3" s="19" t="s">
        <v>211</v>
      </c>
      <c r="AQ3" s="19" t="s">
        <v>180</v>
      </c>
      <c r="AR3" s="19" t="s">
        <v>182</v>
      </c>
      <c r="AS3" s="21" t="s">
        <v>184</v>
      </c>
    </row>
    <row r="4" spans="1:49" ht="15.6">
      <c r="A4" s="23" t="b">
        <v>1</v>
      </c>
      <c r="B4" s="57" t="s">
        <v>1335</v>
      </c>
      <c r="C4" s="57" t="s">
        <v>1336</v>
      </c>
      <c r="D4" s="23" t="b">
        <v>0</v>
      </c>
      <c r="E4" t="s">
        <v>2172</v>
      </c>
      <c r="H4" t="s">
        <v>1020</v>
      </c>
      <c r="I4" t="s">
        <v>258</v>
      </c>
      <c r="O4" t="s">
        <v>456</v>
      </c>
      <c r="P4" t="s">
        <v>475</v>
      </c>
      <c r="X4" t="s">
        <v>354</v>
      </c>
      <c r="Y4">
        <v>0</v>
      </c>
      <c r="Z4">
        <v>0.75</v>
      </c>
      <c r="AA4">
        <v>0.75</v>
      </c>
      <c r="AB4">
        <v>0.94899999999999995</v>
      </c>
      <c r="AC4">
        <v>0.94899999999999995</v>
      </c>
      <c r="AD4">
        <v>0</v>
      </c>
      <c r="AE4">
        <v>0.95</v>
      </c>
      <c r="AF4">
        <v>0</v>
      </c>
      <c r="AG4">
        <v>20</v>
      </c>
      <c r="AH4">
        <v>0</v>
      </c>
      <c r="AI4">
        <v>1000</v>
      </c>
      <c r="AJ4">
        <v>0</v>
      </c>
      <c r="AK4">
        <f>AI4*0.025</f>
        <v>25</v>
      </c>
      <c r="AM4" s="23" t="b">
        <v>0</v>
      </c>
      <c r="AS4" s="58" t="s">
        <v>2173</v>
      </c>
    </row>
    <row r="5" spans="1:49" ht="15.6">
      <c r="A5" s="23" t="b">
        <v>1</v>
      </c>
      <c r="B5" s="57" t="s">
        <v>1335</v>
      </c>
      <c r="C5" s="57" t="s">
        <v>1336</v>
      </c>
      <c r="D5" s="23" t="b">
        <v>0</v>
      </c>
      <c r="E5" t="s">
        <v>2174</v>
      </c>
      <c r="H5" t="s">
        <v>2175</v>
      </c>
      <c r="I5" t="s">
        <v>258</v>
      </c>
      <c r="O5" t="s">
        <v>456</v>
      </c>
      <c r="P5" t="s">
        <v>475</v>
      </c>
      <c r="X5" t="s">
        <v>354</v>
      </c>
      <c r="Y5">
        <v>0</v>
      </c>
      <c r="Z5">
        <v>0.75</v>
      </c>
      <c r="AA5">
        <v>0.75</v>
      </c>
      <c r="AB5">
        <v>0.94899999999999995</v>
      </c>
      <c r="AC5">
        <v>0.94899999999999995</v>
      </c>
      <c r="AD5">
        <v>0</v>
      </c>
      <c r="AE5">
        <v>0.95</v>
      </c>
      <c r="AF5">
        <v>0</v>
      </c>
      <c r="AG5">
        <v>25</v>
      </c>
      <c r="AH5">
        <v>0</v>
      </c>
      <c r="AI5">
        <f>AI4*0.65</f>
        <v>650</v>
      </c>
      <c r="AJ5">
        <v>0</v>
      </c>
      <c r="AK5">
        <f t="shared" ref="AK5:AK11" si="0">AI5*0.025</f>
        <v>16.25</v>
      </c>
      <c r="AM5" s="23" t="b">
        <v>0</v>
      </c>
      <c r="AS5" s="58" t="s">
        <v>2176</v>
      </c>
    </row>
    <row r="6" spans="1:49" ht="15.6">
      <c r="A6" s="23" t="b">
        <v>1</v>
      </c>
      <c r="B6" s="57" t="s">
        <v>1335</v>
      </c>
      <c r="C6" s="57" t="s">
        <v>1336</v>
      </c>
      <c r="D6" s="23" t="b">
        <v>0</v>
      </c>
      <c r="E6" t="s">
        <v>2177</v>
      </c>
      <c r="H6" t="s">
        <v>2178</v>
      </c>
      <c r="I6" t="s">
        <v>258</v>
      </c>
      <c r="O6" t="s">
        <v>456</v>
      </c>
      <c r="P6" t="s">
        <v>475</v>
      </c>
      <c r="X6" t="s">
        <v>354</v>
      </c>
      <c r="Y6">
        <v>0</v>
      </c>
      <c r="Z6">
        <v>0.88</v>
      </c>
      <c r="AA6">
        <v>0.88</v>
      </c>
      <c r="AB6">
        <v>0.94899999999999995</v>
      </c>
      <c r="AC6">
        <v>0.94899999999999995</v>
      </c>
      <c r="AD6">
        <v>0</v>
      </c>
      <c r="AE6">
        <v>0.95</v>
      </c>
      <c r="AF6">
        <v>0</v>
      </c>
      <c r="AG6">
        <v>30</v>
      </c>
      <c r="AH6">
        <v>0</v>
      </c>
      <c r="AI6">
        <v>550</v>
      </c>
      <c r="AJ6">
        <v>0</v>
      </c>
      <c r="AK6">
        <f t="shared" si="0"/>
        <v>13.75</v>
      </c>
      <c r="AM6" s="23" t="b">
        <v>0</v>
      </c>
      <c r="AS6" s="58" t="s">
        <v>2176</v>
      </c>
    </row>
    <row r="7" spans="1:49" ht="15.6">
      <c r="A7" s="23" t="b">
        <v>1</v>
      </c>
      <c r="B7" s="57" t="s">
        <v>1335</v>
      </c>
      <c r="C7" s="57" t="s">
        <v>1336</v>
      </c>
      <c r="D7" s="23" t="b">
        <v>0</v>
      </c>
      <c r="E7" t="s">
        <v>2179</v>
      </c>
      <c r="H7" t="s">
        <v>2180</v>
      </c>
      <c r="I7" t="s">
        <v>258</v>
      </c>
      <c r="O7" t="s">
        <v>456</v>
      </c>
      <c r="P7" t="s">
        <v>475</v>
      </c>
      <c r="X7" t="s">
        <v>354</v>
      </c>
      <c r="Y7">
        <v>0</v>
      </c>
      <c r="Z7">
        <v>1</v>
      </c>
      <c r="AA7">
        <v>1</v>
      </c>
      <c r="AB7">
        <v>0.94899999999999995</v>
      </c>
      <c r="AC7">
        <v>0.94899999999999995</v>
      </c>
      <c r="AD7">
        <v>0</v>
      </c>
      <c r="AE7">
        <v>0.95</v>
      </c>
      <c r="AF7">
        <v>0</v>
      </c>
      <c r="AG7">
        <v>30</v>
      </c>
      <c r="AH7">
        <v>0</v>
      </c>
      <c r="AI7">
        <v>500</v>
      </c>
      <c r="AJ7">
        <v>0</v>
      </c>
      <c r="AK7">
        <f t="shared" si="0"/>
        <v>12.5</v>
      </c>
      <c r="AM7" s="23" t="b">
        <v>0</v>
      </c>
      <c r="AS7" s="58" t="s">
        <v>2176</v>
      </c>
    </row>
    <row r="8" spans="1:49" ht="15.6">
      <c r="A8" s="23" t="b">
        <v>1</v>
      </c>
      <c r="B8" s="57" t="s">
        <v>1335</v>
      </c>
      <c r="C8" s="57" t="s">
        <v>1336</v>
      </c>
      <c r="D8" s="23" t="b">
        <v>0</v>
      </c>
      <c r="E8" t="s">
        <v>2181</v>
      </c>
      <c r="H8" t="s">
        <v>1023</v>
      </c>
      <c r="I8" t="s">
        <v>258</v>
      </c>
      <c r="O8" t="s">
        <v>456</v>
      </c>
      <c r="P8" t="s">
        <v>475</v>
      </c>
      <c r="X8" t="s">
        <v>352</v>
      </c>
      <c r="Y8">
        <v>0</v>
      </c>
      <c r="Z8">
        <v>1</v>
      </c>
      <c r="AA8">
        <v>1</v>
      </c>
      <c r="AB8">
        <v>0.94899999999999995</v>
      </c>
      <c r="AC8">
        <v>0.94899999999999995</v>
      </c>
      <c r="AD8">
        <v>0</v>
      </c>
      <c r="AE8">
        <v>0.95</v>
      </c>
      <c r="AF8">
        <v>0</v>
      </c>
      <c r="AG8">
        <v>20</v>
      </c>
      <c r="AH8">
        <v>0</v>
      </c>
      <c r="AI8">
        <v>800</v>
      </c>
      <c r="AJ8">
        <v>0</v>
      </c>
      <c r="AK8">
        <f t="shared" si="0"/>
        <v>20</v>
      </c>
      <c r="AM8" s="23" t="b">
        <v>0</v>
      </c>
      <c r="AS8" s="58" t="s">
        <v>2182</v>
      </c>
    </row>
    <row r="9" spans="1:49" ht="15.6">
      <c r="A9" s="23" t="b">
        <v>1</v>
      </c>
      <c r="B9" s="57" t="s">
        <v>1335</v>
      </c>
      <c r="C9" s="57" t="s">
        <v>1336</v>
      </c>
      <c r="D9" s="23" t="b">
        <v>0</v>
      </c>
      <c r="E9" t="s">
        <v>2183</v>
      </c>
      <c r="H9" t="s">
        <v>2184</v>
      </c>
      <c r="I9" t="s">
        <v>258</v>
      </c>
      <c r="O9" t="s">
        <v>456</v>
      </c>
      <c r="P9" t="s">
        <v>475</v>
      </c>
      <c r="X9" t="s">
        <v>352</v>
      </c>
      <c r="Y9">
        <v>0</v>
      </c>
      <c r="Z9">
        <v>1</v>
      </c>
      <c r="AA9">
        <v>1</v>
      </c>
      <c r="AB9">
        <v>0.94899999999999995</v>
      </c>
      <c r="AC9">
        <v>0.94899999999999995</v>
      </c>
      <c r="AD9">
        <v>0</v>
      </c>
      <c r="AE9">
        <v>0.95</v>
      </c>
      <c r="AF9">
        <v>0</v>
      </c>
      <c r="AG9">
        <v>25</v>
      </c>
      <c r="AH9">
        <v>0</v>
      </c>
      <c r="AI9">
        <v>460</v>
      </c>
      <c r="AJ9">
        <v>0</v>
      </c>
      <c r="AK9">
        <f t="shared" si="0"/>
        <v>11.5</v>
      </c>
      <c r="AM9" s="23" t="b">
        <v>0</v>
      </c>
      <c r="AS9" s="58" t="s">
        <v>2182</v>
      </c>
    </row>
    <row r="10" spans="1:49" ht="15.6">
      <c r="A10" s="23" t="b">
        <v>1</v>
      </c>
      <c r="B10" s="57" t="s">
        <v>1335</v>
      </c>
      <c r="C10" s="57" t="s">
        <v>1336</v>
      </c>
      <c r="D10" s="23" t="b">
        <v>0</v>
      </c>
      <c r="E10" t="s">
        <v>2185</v>
      </c>
      <c r="H10" t="s">
        <v>2186</v>
      </c>
      <c r="I10" t="s">
        <v>258</v>
      </c>
      <c r="O10" t="s">
        <v>456</v>
      </c>
      <c r="P10" t="s">
        <v>475</v>
      </c>
      <c r="X10" t="s">
        <v>352</v>
      </c>
      <c r="Y10">
        <v>0</v>
      </c>
      <c r="Z10">
        <v>1</v>
      </c>
      <c r="AA10">
        <v>1</v>
      </c>
      <c r="AB10">
        <v>0.94899999999999995</v>
      </c>
      <c r="AC10">
        <v>0.94899999999999995</v>
      </c>
      <c r="AD10">
        <v>0</v>
      </c>
      <c r="AE10">
        <v>0.95</v>
      </c>
      <c r="AF10">
        <v>0</v>
      </c>
      <c r="AG10">
        <v>30</v>
      </c>
      <c r="AH10">
        <v>0</v>
      </c>
      <c r="AI10">
        <v>400</v>
      </c>
      <c r="AJ10">
        <v>0</v>
      </c>
      <c r="AK10">
        <f t="shared" si="0"/>
        <v>10</v>
      </c>
      <c r="AM10" s="23" t="b">
        <v>0</v>
      </c>
      <c r="AS10" s="58" t="s">
        <v>2182</v>
      </c>
    </row>
    <row r="11" spans="1:49" ht="15.6">
      <c r="A11" s="23" t="b">
        <v>1</v>
      </c>
      <c r="B11" s="57" t="s">
        <v>1335</v>
      </c>
      <c r="C11" s="57" t="s">
        <v>1336</v>
      </c>
      <c r="D11" s="23" t="b">
        <v>0</v>
      </c>
      <c r="E11" t="s">
        <v>2187</v>
      </c>
      <c r="H11" t="s">
        <v>2188</v>
      </c>
      <c r="I11" t="s">
        <v>258</v>
      </c>
      <c r="O11" t="s">
        <v>456</v>
      </c>
      <c r="P11" t="s">
        <v>475</v>
      </c>
      <c r="X11" t="s">
        <v>352</v>
      </c>
      <c r="Y11">
        <v>0</v>
      </c>
      <c r="Z11">
        <v>1</v>
      </c>
      <c r="AA11">
        <v>1</v>
      </c>
      <c r="AB11">
        <v>0.94899999999999995</v>
      </c>
      <c r="AC11">
        <v>0.94899999999999995</v>
      </c>
      <c r="AD11">
        <v>0</v>
      </c>
      <c r="AE11">
        <v>0.95</v>
      </c>
      <c r="AF11">
        <v>0</v>
      </c>
      <c r="AG11">
        <v>30</v>
      </c>
      <c r="AH11">
        <v>0</v>
      </c>
      <c r="AI11">
        <v>350</v>
      </c>
      <c r="AJ11">
        <v>0</v>
      </c>
      <c r="AK11">
        <f t="shared" si="0"/>
        <v>8.75</v>
      </c>
      <c r="AM11" s="23" t="b">
        <v>0</v>
      </c>
      <c r="AS11" s="58" t="s">
        <v>2182</v>
      </c>
    </row>
    <row r="12" spans="1:49" ht="15.6">
      <c r="A12" s="23" t="b">
        <v>1</v>
      </c>
      <c r="B12" s="57" t="s">
        <v>1335</v>
      </c>
      <c r="C12" s="57" t="s">
        <v>1443</v>
      </c>
      <c r="D12" s="23" t="b">
        <v>0</v>
      </c>
      <c r="E12" t="s">
        <v>1025</v>
      </c>
      <c r="H12" s="58" t="s">
        <v>1027</v>
      </c>
      <c r="I12" t="s">
        <v>241</v>
      </c>
      <c r="O12" t="s">
        <v>456</v>
      </c>
      <c r="P12" t="s">
        <v>475</v>
      </c>
      <c r="X12" t="s">
        <v>407</v>
      </c>
      <c r="Y12">
        <v>0</v>
      </c>
      <c r="Z12">
        <v>1</v>
      </c>
      <c r="AA12">
        <v>1</v>
      </c>
      <c r="AB12">
        <v>0.99999000000000005</v>
      </c>
      <c r="AC12">
        <v>1</v>
      </c>
      <c r="AD12">
        <v>0.17</v>
      </c>
      <c r="AE12">
        <v>0.9</v>
      </c>
      <c r="AF12">
        <v>0</v>
      </c>
      <c r="AG12">
        <v>80</v>
      </c>
      <c r="AH12">
        <v>0</v>
      </c>
      <c r="AI12">
        <v>0.3</v>
      </c>
      <c r="AJ12">
        <v>0</v>
      </c>
      <c r="AK12">
        <v>3.0000000000000001E-3</v>
      </c>
      <c r="AM12" s="23" t="b">
        <v>0</v>
      </c>
      <c r="AS12" s="58" t="s">
        <v>2189</v>
      </c>
    </row>
    <row r="13" spans="1:49" ht="15.6">
      <c r="A13" s="23" t="b">
        <v>1</v>
      </c>
      <c r="B13" s="57" t="s">
        <v>1335</v>
      </c>
      <c r="C13" s="57" t="s">
        <v>1443</v>
      </c>
      <c r="D13" s="23" t="b">
        <v>0</v>
      </c>
      <c r="E13" t="s">
        <v>1029</v>
      </c>
      <c r="H13" s="58" t="s">
        <v>1030</v>
      </c>
      <c r="I13" t="s">
        <v>241</v>
      </c>
      <c r="O13" t="s">
        <v>456</v>
      </c>
      <c r="P13" t="s">
        <v>475</v>
      </c>
      <c r="X13" t="s">
        <v>403</v>
      </c>
      <c r="Y13">
        <v>0</v>
      </c>
      <c r="Z13">
        <v>1</v>
      </c>
      <c r="AA13">
        <v>1</v>
      </c>
      <c r="AB13">
        <v>0.99999000000000005</v>
      </c>
      <c r="AC13">
        <v>1</v>
      </c>
      <c r="AD13">
        <v>0</v>
      </c>
      <c r="AE13">
        <v>1</v>
      </c>
      <c r="AF13">
        <v>0</v>
      </c>
      <c r="AG13">
        <v>80</v>
      </c>
      <c r="AH13">
        <v>0</v>
      </c>
      <c r="AI13">
        <v>0.3</v>
      </c>
      <c r="AJ13">
        <v>0</v>
      </c>
      <c r="AK13">
        <v>3.0000000000000001E-3</v>
      </c>
      <c r="AM13" s="23" t="b">
        <v>0</v>
      </c>
      <c r="AS13" s="58" t="s">
        <v>2189</v>
      </c>
    </row>
    <row r="14" spans="1:49" ht="15.6">
      <c r="A14" s="23" t="b">
        <v>1</v>
      </c>
      <c r="B14" s="57" t="s">
        <v>1335</v>
      </c>
      <c r="C14" s="57"/>
      <c r="D14" s="23" t="b">
        <v>0</v>
      </c>
      <c r="E14" t="s">
        <v>1032</v>
      </c>
      <c r="H14" s="58" t="s">
        <v>1033</v>
      </c>
      <c r="I14" t="s">
        <v>267</v>
      </c>
      <c r="O14" t="s">
        <v>456</v>
      </c>
      <c r="P14" t="s">
        <v>475</v>
      </c>
      <c r="X14" t="s">
        <v>427</v>
      </c>
      <c r="Y14">
        <v>0</v>
      </c>
      <c r="Z14">
        <v>1</v>
      </c>
      <c r="AA14">
        <v>1</v>
      </c>
      <c r="AB14">
        <v>0.99</v>
      </c>
      <c r="AC14">
        <v>0.99</v>
      </c>
      <c r="AD14">
        <v>0</v>
      </c>
      <c r="AE14">
        <v>1</v>
      </c>
      <c r="AF14">
        <v>9.7130500000000008E-3</v>
      </c>
      <c r="AG14">
        <v>40</v>
      </c>
      <c r="AH14">
        <v>0</v>
      </c>
      <c r="AI14">
        <v>60</v>
      </c>
      <c r="AJ14">
        <v>0</v>
      </c>
      <c r="AK14">
        <v>0.6</v>
      </c>
      <c r="AM14" s="23" t="b">
        <v>0</v>
      </c>
      <c r="AS14" t="s">
        <v>2190</v>
      </c>
    </row>
    <row r="15" spans="1:49" ht="15.6">
      <c r="A15" s="23" t="b">
        <v>1</v>
      </c>
      <c r="B15" s="57" t="s">
        <v>1335</v>
      </c>
      <c r="C15" s="57"/>
      <c r="D15" s="23" t="b">
        <v>0</v>
      </c>
      <c r="E15" t="s">
        <v>2191</v>
      </c>
      <c r="H15" t="s">
        <v>1036</v>
      </c>
      <c r="I15" t="s">
        <v>267</v>
      </c>
      <c r="O15" t="s">
        <v>456</v>
      </c>
      <c r="P15" t="s">
        <v>475</v>
      </c>
      <c r="X15" t="s">
        <v>437</v>
      </c>
      <c r="Y15">
        <v>0</v>
      </c>
      <c r="Z15">
        <v>1</v>
      </c>
      <c r="AA15">
        <v>1</v>
      </c>
      <c r="AB15">
        <v>0.99</v>
      </c>
      <c r="AC15">
        <v>0.99</v>
      </c>
      <c r="AD15">
        <v>0</v>
      </c>
      <c r="AE15">
        <v>1</v>
      </c>
      <c r="AF15">
        <v>1.5805300000000001E-4</v>
      </c>
      <c r="AG15">
        <v>40</v>
      </c>
      <c r="AH15">
        <v>0</v>
      </c>
      <c r="AI15">
        <v>3</v>
      </c>
      <c r="AJ15">
        <v>0</v>
      </c>
      <c r="AK15">
        <v>2.5999999999999999E-2</v>
      </c>
      <c r="AM15" s="23" t="b">
        <v>0</v>
      </c>
      <c r="AS15" t="s">
        <v>2190</v>
      </c>
    </row>
    <row r="16" spans="1:49" ht="15.6">
      <c r="A16" s="23" t="b">
        <v>0</v>
      </c>
      <c r="B16" s="57" t="s">
        <v>1335</v>
      </c>
      <c r="C16" s="57"/>
      <c r="D16" s="23" t="b">
        <v>0</v>
      </c>
      <c r="E16" s="63" t="s">
        <v>1038</v>
      </c>
      <c r="I16" t="s">
        <v>267</v>
      </c>
      <c r="O16" t="s">
        <v>456</v>
      </c>
      <c r="P16" t="s">
        <v>475</v>
      </c>
      <c r="X16" t="s">
        <v>431</v>
      </c>
      <c r="Y16">
        <v>0</v>
      </c>
      <c r="Z16">
        <v>1</v>
      </c>
      <c r="AA16">
        <v>1</v>
      </c>
      <c r="AB16">
        <v>0.99</v>
      </c>
      <c r="AC16">
        <v>0.99</v>
      </c>
      <c r="AD16">
        <v>0</v>
      </c>
      <c r="AE16">
        <v>1</v>
      </c>
      <c r="AF16">
        <v>1.5805300000000001E-4</v>
      </c>
      <c r="AG16">
        <v>40</v>
      </c>
      <c r="AH16">
        <v>0</v>
      </c>
      <c r="AI16">
        <v>3</v>
      </c>
      <c r="AJ16">
        <v>0</v>
      </c>
      <c r="AK16">
        <v>2.5999999999999999E-2</v>
      </c>
      <c r="AM16" s="23" t="b">
        <v>0</v>
      </c>
    </row>
    <row r="17" spans="1:45" ht="15.6">
      <c r="A17" s="23" t="b">
        <v>1</v>
      </c>
      <c r="B17" s="57" t="s">
        <v>1335</v>
      </c>
      <c r="C17" s="57"/>
      <c r="D17" s="23" t="b">
        <v>0</v>
      </c>
      <c r="E17" t="s">
        <v>2192</v>
      </c>
      <c r="I17" t="s">
        <v>260</v>
      </c>
      <c r="O17" t="s">
        <v>456</v>
      </c>
      <c r="P17" t="s">
        <v>475</v>
      </c>
      <c r="X17" t="s">
        <v>396</v>
      </c>
      <c r="Y17">
        <v>300000</v>
      </c>
      <c r="Z17">
        <v>1</v>
      </c>
      <c r="AA17">
        <v>1</v>
      </c>
      <c r="AB17" s="63">
        <v>0.93799999999999994</v>
      </c>
      <c r="AC17" s="63">
        <v>0.93799999999999994</v>
      </c>
      <c r="AD17">
        <v>0</v>
      </c>
      <c r="AE17">
        <v>1</v>
      </c>
      <c r="AF17">
        <v>0</v>
      </c>
      <c r="AG17">
        <v>30</v>
      </c>
      <c r="AH17">
        <v>0</v>
      </c>
      <c r="AI17">
        <v>7</v>
      </c>
      <c r="AJ17">
        <v>0</v>
      </c>
      <c r="AK17">
        <v>0.13</v>
      </c>
      <c r="AM17" s="23" t="b">
        <v>0</v>
      </c>
      <c r="AS17" t="s">
        <v>2190</v>
      </c>
    </row>
    <row r="18" spans="1:45" ht="15.6">
      <c r="A18" s="23" t="b">
        <v>1</v>
      </c>
      <c r="B18" s="57" t="s">
        <v>1335</v>
      </c>
      <c r="C18" s="57"/>
      <c r="D18" s="23" t="b">
        <v>0</v>
      </c>
      <c r="E18" t="s">
        <v>1043</v>
      </c>
      <c r="H18" t="s">
        <v>2193</v>
      </c>
      <c r="I18" t="s">
        <v>262</v>
      </c>
      <c r="O18" t="s">
        <v>456</v>
      </c>
      <c r="P18" t="s">
        <v>475</v>
      </c>
      <c r="X18" t="s">
        <v>364</v>
      </c>
      <c r="Y18">
        <v>700000</v>
      </c>
      <c r="Z18">
        <v>1</v>
      </c>
      <c r="AA18">
        <v>1</v>
      </c>
      <c r="AB18" s="63">
        <v>0.95</v>
      </c>
      <c r="AC18" s="63">
        <v>0.95</v>
      </c>
      <c r="AD18">
        <v>0</v>
      </c>
      <c r="AE18">
        <v>1</v>
      </c>
      <c r="AF18">
        <v>0</v>
      </c>
      <c r="AG18">
        <v>40</v>
      </c>
      <c r="AH18">
        <v>0</v>
      </c>
      <c r="AI18">
        <v>6</v>
      </c>
      <c r="AJ18">
        <v>0</v>
      </c>
      <c r="AK18">
        <v>0.06</v>
      </c>
      <c r="AM18" s="23" t="b">
        <v>0</v>
      </c>
      <c r="AS18" t="s">
        <v>2194</v>
      </c>
    </row>
    <row r="19" spans="1:45" ht="15.6">
      <c r="A19" s="23" t="b">
        <v>0</v>
      </c>
      <c r="B19" s="57" t="s">
        <v>1335</v>
      </c>
      <c r="C19" s="57"/>
      <c r="D19" s="23" t="b">
        <v>0</v>
      </c>
      <c r="E19" t="s">
        <v>1045</v>
      </c>
      <c r="H19" t="s">
        <v>2195</v>
      </c>
      <c r="I19" t="s">
        <v>262</v>
      </c>
      <c r="O19" t="s">
        <v>456</v>
      </c>
      <c r="P19" t="s">
        <v>475</v>
      </c>
      <c r="X19" t="s">
        <v>364</v>
      </c>
      <c r="Y19">
        <v>0</v>
      </c>
      <c r="Z19">
        <v>1</v>
      </c>
      <c r="AA19">
        <v>1</v>
      </c>
      <c r="AB19" s="63">
        <v>0.96</v>
      </c>
      <c r="AC19" s="63">
        <v>0.96</v>
      </c>
      <c r="AD19">
        <v>0</v>
      </c>
      <c r="AE19">
        <v>1</v>
      </c>
      <c r="AF19">
        <v>0</v>
      </c>
      <c r="AG19">
        <v>40</v>
      </c>
      <c r="AH19">
        <v>6</v>
      </c>
      <c r="AI19">
        <v>0.06</v>
      </c>
      <c r="AJ19">
        <v>0</v>
      </c>
      <c r="AK19">
        <v>0</v>
      </c>
      <c r="AM19" s="23" t="b">
        <v>0</v>
      </c>
      <c r="AS19" t="s">
        <v>2194</v>
      </c>
    </row>
    <row r="20" spans="1:45" ht="15.6">
      <c r="A20" s="23" t="b">
        <v>0</v>
      </c>
      <c r="B20" s="57" t="s">
        <v>1335</v>
      </c>
      <c r="C20" s="57"/>
      <c r="D20" s="23" t="b">
        <v>0</v>
      </c>
      <c r="E20" t="s">
        <v>2196</v>
      </c>
      <c r="H20" t="s">
        <v>2197</v>
      </c>
      <c r="I20" t="s">
        <v>262</v>
      </c>
      <c r="O20" t="s">
        <v>456</v>
      </c>
      <c r="P20" t="s">
        <v>475</v>
      </c>
      <c r="X20" t="s">
        <v>364</v>
      </c>
      <c r="Y20">
        <v>150000000</v>
      </c>
      <c r="Z20">
        <v>1</v>
      </c>
      <c r="AA20">
        <v>1</v>
      </c>
      <c r="AB20" s="63">
        <v>0.97499999999999998</v>
      </c>
      <c r="AC20" s="63">
        <v>0.97499999999999998</v>
      </c>
      <c r="AD20">
        <v>0</v>
      </c>
      <c r="AE20">
        <v>1</v>
      </c>
      <c r="AF20">
        <v>0</v>
      </c>
      <c r="AG20">
        <v>50</v>
      </c>
      <c r="AH20">
        <v>0</v>
      </c>
      <c r="AI20">
        <v>3.9E-2</v>
      </c>
      <c r="AJ20">
        <v>30000000</v>
      </c>
      <c r="AK20">
        <v>8.0000000000000004E-4</v>
      </c>
      <c r="AM20" s="23" t="b">
        <v>0</v>
      </c>
      <c r="AS20" t="s">
        <v>2194</v>
      </c>
    </row>
    <row r="21" spans="1:45" ht="15.6">
      <c r="A21" s="23" t="b">
        <v>0</v>
      </c>
      <c r="B21" s="57" t="s">
        <v>1335</v>
      </c>
      <c r="C21" s="57"/>
      <c r="D21" s="23" t="b">
        <v>0</v>
      </c>
      <c r="E21" t="s">
        <v>1049</v>
      </c>
      <c r="O21" t="s">
        <v>456</v>
      </c>
      <c r="P21" t="s">
        <v>475</v>
      </c>
      <c r="X21" t="s">
        <v>384</v>
      </c>
      <c r="Y21">
        <v>700000</v>
      </c>
      <c r="Z21">
        <v>1</v>
      </c>
      <c r="AA21">
        <v>1</v>
      </c>
      <c r="AB21">
        <v>1</v>
      </c>
      <c r="AC21">
        <v>1</v>
      </c>
      <c r="AD21">
        <v>0</v>
      </c>
      <c r="AE21">
        <v>1</v>
      </c>
      <c r="AF21">
        <v>0</v>
      </c>
      <c r="AG21">
        <v>40</v>
      </c>
      <c r="AH21">
        <v>0</v>
      </c>
      <c r="AI21">
        <v>6</v>
      </c>
      <c r="AJ21">
        <v>0</v>
      </c>
      <c r="AK21">
        <v>0.06</v>
      </c>
      <c r="AM21" s="23" t="b">
        <v>0</v>
      </c>
    </row>
    <row r="22" spans="1:45" ht="15.6">
      <c r="A22" s="23" t="b">
        <v>0</v>
      </c>
      <c r="B22" s="57" t="s">
        <v>1335</v>
      </c>
      <c r="C22" s="57"/>
      <c r="D22" s="23" t="b">
        <v>0</v>
      </c>
      <c r="E22" t="s">
        <v>1052</v>
      </c>
      <c r="O22" t="s">
        <v>456</v>
      </c>
      <c r="P22" t="s">
        <v>475</v>
      </c>
      <c r="X22" t="s">
        <v>417</v>
      </c>
      <c r="Y22">
        <v>700000</v>
      </c>
      <c r="Z22">
        <v>1</v>
      </c>
      <c r="AA22">
        <v>1</v>
      </c>
      <c r="AB22">
        <v>1</v>
      </c>
      <c r="AC22">
        <v>1</v>
      </c>
      <c r="AD22">
        <v>0</v>
      </c>
      <c r="AE22">
        <v>1</v>
      </c>
      <c r="AF22">
        <v>0</v>
      </c>
      <c r="AG22">
        <v>40</v>
      </c>
      <c r="AH22">
        <v>0</v>
      </c>
      <c r="AI22">
        <v>6</v>
      </c>
      <c r="AJ22">
        <v>0</v>
      </c>
      <c r="AK22">
        <v>0.06</v>
      </c>
      <c r="AM22" s="23" t="b">
        <v>0</v>
      </c>
    </row>
    <row r="23" spans="1:45" ht="15.6">
      <c r="A23" s="23" t="b">
        <v>0</v>
      </c>
      <c r="B23" s="57" t="s">
        <v>1335</v>
      </c>
      <c r="C23" s="57"/>
      <c r="D23" s="23" t="b">
        <v>0</v>
      </c>
      <c r="E23" t="s">
        <v>1054</v>
      </c>
      <c r="O23" t="s">
        <v>456</v>
      </c>
      <c r="P23" t="s">
        <v>475</v>
      </c>
      <c r="X23" t="s">
        <v>370</v>
      </c>
      <c r="Y23">
        <v>700000</v>
      </c>
      <c r="Z23">
        <v>1</v>
      </c>
      <c r="AA23">
        <v>1</v>
      </c>
      <c r="AB23">
        <v>1</v>
      </c>
      <c r="AC23">
        <v>1</v>
      </c>
      <c r="AD23">
        <v>0</v>
      </c>
      <c r="AE23">
        <v>1</v>
      </c>
      <c r="AF23">
        <v>0</v>
      </c>
      <c r="AG23">
        <v>40</v>
      </c>
      <c r="AH23">
        <v>0</v>
      </c>
      <c r="AI23">
        <v>6</v>
      </c>
      <c r="AJ23">
        <v>0</v>
      </c>
      <c r="AK23">
        <v>0.06</v>
      </c>
      <c r="AM23" s="23" t="b">
        <v>0</v>
      </c>
    </row>
    <row r="24" spans="1:45" ht="15.6">
      <c r="A24" s="23" t="b">
        <v>0</v>
      </c>
      <c r="B24" s="57" t="s">
        <v>1335</v>
      </c>
      <c r="C24" s="57"/>
      <c r="D24" s="23" t="b">
        <v>0</v>
      </c>
      <c r="E24" t="s">
        <v>1056</v>
      </c>
      <c r="O24" t="s">
        <v>456</v>
      </c>
      <c r="P24" t="s">
        <v>475</v>
      </c>
      <c r="X24" t="s">
        <v>372</v>
      </c>
      <c r="Y24">
        <v>700000</v>
      </c>
      <c r="Z24">
        <v>1</v>
      </c>
      <c r="AA24">
        <v>1</v>
      </c>
      <c r="AB24">
        <v>1</v>
      </c>
      <c r="AC24">
        <v>1</v>
      </c>
      <c r="AD24">
        <v>0</v>
      </c>
      <c r="AE24">
        <v>1</v>
      </c>
      <c r="AF24">
        <v>0</v>
      </c>
      <c r="AG24">
        <v>40</v>
      </c>
      <c r="AH24">
        <v>0</v>
      </c>
      <c r="AI24">
        <v>6</v>
      </c>
      <c r="AJ24">
        <v>0</v>
      </c>
      <c r="AK24">
        <v>0.06</v>
      </c>
      <c r="AM24" s="23" t="b">
        <v>0</v>
      </c>
    </row>
    <row r="25" spans="1:45" ht="16.350000000000001" customHeight="1">
      <c r="A25" s="23" t="b">
        <v>0</v>
      </c>
      <c r="B25" s="57" t="s">
        <v>1335</v>
      </c>
      <c r="C25" s="57"/>
      <c r="D25" s="23" t="b">
        <v>0</v>
      </c>
      <c r="E25" t="s">
        <v>1058</v>
      </c>
      <c r="H25" t="s">
        <v>1059</v>
      </c>
      <c r="O25" t="s">
        <v>456</v>
      </c>
      <c r="P25" t="s">
        <v>475</v>
      </c>
      <c r="X25" t="s">
        <v>452</v>
      </c>
      <c r="Z25">
        <v>1</v>
      </c>
      <c r="AA25">
        <v>1</v>
      </c>
      <c r="AB25">
        <v>1</v>
      </c>
      <c r="AC25">
        <v>1</v>
      </c>
      <c r="AD25">
        <v>0</v>
      </c>
      <c r="AE25">
        <v>1</v>
      </c>
      <c r="AF25">
        <v>0</v>
      </c>
      <c r="AG25">
        <v>30</v>
      </c>
      <c r="AH25">
        <v>0</v>
      </c>
      <c r="AI25">
        <v>0.17399999999999999</v>
      </c>
      <c r="AJ25">
        <v>0</v>
      </c>
      <c r="AS25" t="s">
        <v>2198</v>
      </c>
    </row>
  </sheetData>
  <autoFilter ref="A3:AW24" xr:uid="{58692A7C-8AB0-4517-A3BB-C7B1DFED0547}"/>
  <phoneticPr fontId="35" type="noConversion"/>
  <conditionalFormatting sqref="A1:D1 A3:D1048576">
    <cfRule type="iconSet" priority="3">
      <iconSet iconSet="3Flags">
        <cfvo type="percent" val="0"/>
        <cfvo type="percent" val="33"/>
        <cfvo type="percent" val="67"/>
      </iconSet>
    </cfRule>
  </conditionalFormatting>
  <conditionalFormatting sqref="AM4:AM24">
    <cfRule type="iconSet" priority="1">
      <iconSet iconSet="3Flags">
        <cfvo type="percent" val="0"/>
        <cfvo type="percent" val="33"/>
        <cfvo type="percent" val="67"/>
      </iconSet>
    </cfRule>
  </conditionalFormatting>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59999389629810485"/>
    <outlinePr summaryBelow="0" summaryRight="0"/>
  </sheetPr>
  <dimension ref="A1:E4"/>
  <sheetViews>
    <sheetView workbookViewId="0">
      <selection activeCell="C11" sqref="C11"/>
    </sheetView>
  </sheetViews>
  <sheetFormatPr defaultColWidth="12.5546875" defaultRowHeight="16.5" customHeight="1"/>
  <cols>
    <col min="1" max="1" width="29.5546875" style="18" customWidth="1"/>
    <col min="2" max="2" width="61" style="18" customWidth="1"/>
    <col min="3" max="3" width="15.5546875" style="55" customWidth="1"/>
    <col min="4" max="4" width="76.44140625" style="18" customWidth="1"/>
    <col min="5" max="16384" width="12.5546875" style="18"/>
  </cols>
  <sheetData>
    <row r="1" spans="1:5" ht="16.5" customHeight="1">
      <c r="A1" s="49" t="s">
        <v>2199</v>
      </c>
      <c r="B1" s="49" t="s">
        <v>2200</v>
      </c>
      <c r="C1" s="54" t="s">
        <v>2201</v>
      </c>
      <c r="D1" s="49" t="s">
        <v>333</v>
      </c>
      <c r="E1" s="49"/>
    </row>
    <row r="2" spans="1:5" ht="29.1" customHeight="1">
      <c r="A2" s="24" t="s">
        <v>319</v>
      </c>
      <c r="B2" s="24" t="s">
        <v>2202</v>
      </c>
      <c r="C2" s="55" t="s">
        <v>2203</v>
      </c>
      <c r="D2" s="17" t="s">
        <v>2204</v>
      </c>
    </row>
    <row r="3" spans="1:5" ht="29.1" customHeight="1">
      <c r="A3" s="24" t="s">
        <v>318</v>
      </c>
      <c r="B3" s="24" t="s">
        <v>2205</v>
      </c>
      <c r="C3" s="55" t="s">
        <v>2206</v>
      </c>
      <c r="D3" s="18" t="s">
        <v>2204</v>
      </c>
    </row>
    <row r="4" spans="1:5" ht="29.1" customHeight="1">
      <c r="A4" s="24" t="s">
        <v>316</v>
      </c>
      <c r="B4" s="24" t="s">
        <v>2207</v>
      </c>
      <c r="C4" s="55">
        <v>9</v>
      </c>
      <c r="D4" s="18" t="s">
        <v>2204</v>
      </c>
    </row>
  </sheetData>
  <hyperlinks>
    <hyperlink ref="D2" r:id="rId1" xr:uid="{54CEBC3C-52F1-47E0-B5C9-40FF3F85958F}"/>
  </hyperlinks>
  <pageMargins left="0" right="0" top="0" bottom="0" header="0" footer="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0000"/>
    <outlinePr summaryBelow="0" summaryRight="0"/>
  </sheetPr>
  <dimension ref="A1:AJ18"/>
  <sheetViews>
    <sheetView workbookViewId="0"/>
  </sheetViews>
  <sheetFormatPr defaultColWidth="12.5546875" defaultRowHeight="16.5" customHeight="1"/>
  <cols>
    <col min="1" max="1" width="12.44140625" customWidth="1"/>
    <col min="2" max="2" width="65.5546875" customWidth="1"/>
    <col min="3" max="3" width="43.44140625" customWidth="1"/>
    <col min="4" max="4" width="24.5546875" customWidth="1"/>
    <col min="5" max="5" width="9.5546875" customWidth="1"/>
    <col min="6" max="6" width="11.44140625" customWidth="1"/>
    <col min="7" max="7" width="17.44140625" customWidth="1"/>
    <col min="8" max="8" width="8.5546875" customWidth="1"/>
    <col min="9" max="9" width="11.5546875" customWidth="1"/>
    <col min="10" max="10" width="14.5546875" customWidth="1"/>
    <col min="11" max="11" width="10.44140625" customWidth="1"/>
    <col min="12" max="12" width="13.44140625" customWidth="1"/>
    <col min="13" max="13" width="19.5546875" customWidth="1"/>
    <col min="14" max="14" width="14.44140625" customWidth="1"/>
    <col min="15" max="15" width="9.44140625" customWidth="1"/>
    <col min="16" max="16" width="7.44140625" customWidth="1"/>
    <col min="17" max="18" width="11.44140625" customWidth="1"/>
    <col min="19" max="21" width="8.5546875" customWidth="1"/>
    <col min="22" max="25" width="10.44140625" customWidth="1"/>
    <col min="26" max="26" width="8.44140625" customWidth="1"/>
    <col min="27" max="28" width="9.5546875" customWidth="1"/>
    <col min="29" max="29" width="10.5546875" customWidth="1"/>
    <col min="30" max="31" width="12" customWidth="1"/>
    <col min="32" max="36" width="14.5546875" customWidth="1"/>
  </cols>
  <sheetData>
    <row r="1" spans="1:36" ht="16.5" customHeight="1">
      <c r="A1" s="5" t="s">
        <v>2208</v>
      </c>
      <c r="B1" s="5" t="s">
        <v>2209</v>
      </c>
      <c r="C1" s="5" t="s">
        <v>77</v>
      </c>
      <c r="D1" s="6" t="s">
        <v>2210</v>
      </c>
      <c r="E1" s="6" t="s">
        <v>1069</v>
      </c>
      <c r="F1" s="6" t="s">
        <v>2211</v>
      </c>
      <c r="G1" s="5" t="s">
        <v>2212</v>
      </c>
      <c r="H1" s="5" t="s">
        <v>2213</v>
      </c>
      <c r="I1" s="6" t="s">
        <v>2214</v>
      </c>
      <c r="J1" s="5" t="s">
        <v>2215</v>
      </c>
      <c r="K1" s="5" t="s">
        <v>2216</v>
      </c>
      <c r="L1" s="6" t="s">
        <v>135</v>
      </c>
      <c r="M1" s="6" t="s">
        <v>2217</v>
      </c>
      <c r="N1" s="5" t="s">
        <v>2218</v>
      </c>
      <c r="O1" s="5" t="s">
        <v>2219</v>
      </c>
      <c r="P1" s="7" t="s">
        <v>2220</v>
      </c>
      <c r="Q1" s="7" t="s">
        <v>2221</v>
      </c>
      <c r="R1" s="7" t="s">
        <v>2222</v>
      </c>
      <c r="S1" s="7" t="s">
        <v>2223</v>
      </c>
      <c r="T1" s="7" t="s">
        <v>2224</v>
      </c>
      <c r="U1" s="8" t="s">
        <v>2225</v>
      </c>
      <c r="V1" s="7" t="s">
        <v>2226</v>
      </c>
      <c r="W1" s="7" t="s">
        <v>166</v>
      </c>
      <c r="X1" s="7" t="s">
        <v>2227</v>
      </c>
      <c r="Y1" s="9" t="s">
        <v>2228</v>
      </c>
      <c r="Z1" s="7" t="s">
        <v>2229</v>
      </c>
      <c r="AA1" s="7" t="s">
        <v>2230</v>
      </c>
      <c r="AB1" s="7" t="s">
        <v>2231</v>
      </c>
      <c r="AC1" s="7" t="s">
        <v>2232</v>
      </c>
      <c r="AD1" s="7" t="s">
        <v>173</v>
      </c>
      <c r="AE1" s="7" t="s">
        <v>333</v>
      </c>
      <c r="AF1" s="7" t="s">
        <v>474</v>
      </c>
      <c r="AG1" s="7"/>
      <c r="AH1" s="7"/>
      <c r="AI1" s="7"/>
      <c r="AJ1" s="7"/>
    </row>
    <row r="2" spans="1:36" ht="16.5" customHeight="1">
      <c r="A2" s="1">
        <v>1</v>
      </c>
      <c r="B2" s="1" t="s">
        <v>2233</v>
      </c>
      <c r="C2" s="1" t="s">
        <v>2234</v>
      </c>
      <c r="D2" s="4" t="s">
        <v>490</v>
      </c>
      <c r="E2" s="4" t="s">
        <v>456</v>
      </c>
      <c r="F2" s="10" t="s">
        <v>316</v>
      </c>
      <c r="G2" s="3" t="s">
        <v>1447</v>
      </c>
      <c r="H2" s="1">
        <v>2030</v>
      </c>
      <c r="I2" s="12" t="s">
        <v>258</v>
      </c>
      <c r="J2" s="1">
        <v>1</v>
      </c>
      <c r="L2" s="4"/>
      <c r="M2" s="4" t="s">
        <v>396</v>
      </c>
      <c r="N2" s="1" t="s">
        <v>2235</v>
      </c>
      <c r="P2" s="13">
        <v>25</v>
      </c>
      <c r="Q2" s="1"/>
      <c r="R2" s="1"/>
      <c r="T2" s="3"/>
      <c r="U2" s="10" t="s">
        <v>475</v>
      </c>
      <c r="V2" s="3"/>
      <c r="W2" s="3"/>
      <c r="X2" s="3"/>
      <c r="Y2" s="14">
        <v>1200</v>
      </c>
      <c r="Z2" s="3"/>
      <c r="AA2" s="13">
        <v>36</v>
      </c>
      <c r="AB2" s="3"/>
      <c r="AC2" s="3"/>
      <c r="AD2" s="1"/>
      <c r="AE2" s="1" t="s">
        <v>2236</v>
      </c>
      <c r="AF2" s="1"/>
      <c r="AG2" s="1"/>
      <c r="AH2" s="1"/>
      <c r="AI2" s="1"/>
      <c r="AJ2" s="1"/>
    </row>
    <row r="3" spans="1:36" ht="16.5" customHeight="1">
      <c r="A3" s="1">
        <v>2</v>
      </c>
      <c r="B3" s="1" t="s">
        <v>2237</v>
      </c>
      <c r="C3" s="1" t="s">
        <v>2238</v>
      </c>
      <c r="D3" s="4" t="s">
        <v>490</v>
      </c>
      <c r="E3" s="4" t="s">
        <v>456</v>
      </c>
      <c r="F3" s="10" t="s">
        <v>316</v>
      </c>
      <c r="G3" s="3" t="s">
        <v>1447</v>
      </c>
      <c r="H3" s="1">
        <v>2040</v>
      </c>
      <c r="I3" s="12" t="s">
        <v>258</v>
      </c>
      <c r="J3" s="1">
        <v>1</v>
      </c>
      <c r="L3" s="4"/>
      <c r="M3" s="4" t="s">
        <v>396</v>
      </c>
      <c r="N3" s="1">
        <v>0.7</v>
      </c>
      <c r="P3" s="13">
        <v>25</v>
      </c>
      <c r="Q3" s="1"/>
      <c r="R3" s="1"/>
      <c r="S3" s="3"/>
      <c r="T3" s="3"/>
      <c r="U3" s="10" t="s">
        <v>475</v>
      </c>
      <c r="V3" s="3"/>
      <c r="W3" s="3"/>
      <c r="X3" s="3"/>
      <c r="Y3" s="14">
        <v>1000</v>
      </c>
      <c r="Z3" s="3"/>
      <c r="AA3" s="13">
        <v>30</v>
      </c>
      <c r="AB3" s="3"/>
      <c r="AC3" s="3"/>
      <c r="AD3" s="1"/>
      <c r="AE3" s="1" t="s">
        <v>2239</v>
      </c>
      <c r="AF3" s="1"/>
      <c r="AG3" s="1"/>
      <c r="AH3" s="1"/>
      <c r="AI3" s="1"/>
      <c r="AJ3" s="1"/>
    </row>
    <row r="4" spans="1:36" ht="16.5" customHeight="1">
      <c r="A4" s="1">
        <v>3</v>
      </c>
      <c r="B4" s="1" t="s">
        <v>2240</v>
      </c>
      <c r="C4" s="1" t="s">
        <v>2241</v>
      </c>
      <c r="D4" s="4" t="s">
        <v>490</v>
      </c>
      <c r="E4" s="4" t="s">
        <v>456</v>
      </c>
      <c r="F4" s="10" t="s">
        <v>316</v>
      </c>
      <c r="G4" s="3" t="s">
        <v>1447</v>
      </c>
      <c r="H4" s="1">
        <v>2050</v>
      </c>
      <c r="I4" s="12" t="s">
        <v>258</v>
      </c>
      <c r="J4" s="1">
        <v>1</v>
      </c>
      <c r="L4" s="4"/>
      <c r="M4" s="4" t="s">
        <v>396</v>
      </c>
      <c r="N4" s="1">
        <v>0.75</v>
      </c>
      <c r="P4" s="13">
        <v>25</v>
      </c>
      <c r="Q4" s="1"/>
      <c r="R4" s="1"/>
      <c r="S4" s="3"/>
      <c r="T4" s="3"/>
      <c r="U4" s="10" t="s">
        <v>475</v>
      </c>
      <c r="V4" s="3"/>
      <c r="W4" s="3"/>
      <c r="X4" s="3"/>
      <c r="Y4" s="14">
        <v>900</v>
      </c>
      <c r="Z4" s="3"/>
      <c r="AA4" s="13">
        <v>27</v>
      </c>
      <c r="AB4" s="3"/>
      <c r="AC4" s="3"/>
      <c r="AD4" s="1"/>
      <c r="AE4" s="1" t="s">
        <v>2239</v>
      </c>
      <c r="AF4" s="1"/>
      <c r="AG4" s="1"/>
      <c r="AH4" s="1"/>
      <c r="AI4" s="1"/>
      <c r="AJ4" s="1"/>
    </row>
    <row r="5" spans="1:36" ht="16.5" customHeight="1">
      <c r="A5" s="1">
        <v>4</v>
      </c>
      <c r="B5" s="1" t="s">
        <v>2242</v>
      </c>
      <c r="C5" s="1" t="s">
        <v>2243</v>
      </c>
      <c r="D5" s="11" t="s">
        <v>493</v>
      </c>
      <c r="E5" s="4" t="s">
        <v>456</v>
      </c>
      <c r="F5" s="10" t="s">
        <v>318</v>
      </c>
      <c r="G5" s="3" t="s">
        <v>1447</v>
      </c>
      <c r="H5" s="1">
        <v>2030</v>
      </c>
      <c r="I5" s="10" t="s">
        <v>495</v>
      </c>
      <c r="L5" s="11"/>
      <c r="M5" s="11" t="s">
        <v>401</v>
      </c>
      <c r="N5" s="1">
        <v>0.75</v>
      </c>
      <c r="P5" s="3"/>
      <c r="S5" s="3"/>
      <c r="T5" s="3"/>
      <c r="U5" s="10"/>
      <c r="V5" s="3"/>
      <c r="W5" s="3"/>
      <c r="X5" s="3"/>
      <c r="Y5" s="15"/>
      <c r="Z5" s="3"/>
      <c r="AA5" s="3"/>
      <c r="AB5" s="3"/>
      <c r="AC5" s="3"/>
    </row>
    <row r="6" spans="1:36" ht="16.5" customHeight="1">
      <c r="A6" s="1">
        <v>5</v>
      </c>
      <c r="B6" s="1" t="s">
        <v>2244</v>
      </c>
      <c r="C6" s="1" t="s">
        <v>2245</v>
      </c>
      <c r="D6" s="4" t="s">
        <v>496</v>
      </c>
      <c r="E6" s="4" t="s">
        <v>456</v>
      </c>
      <c r="F6" s="10" t="s">
        <v>319</v>
      </c>
      <c r="G6" s="3" t="s">
        <v>1447</v>
      </c>
      <c r="H6" s="1">
        <v>2030</v>
      </c>
      <c r="I6" s="10" t="s">
        <v>498</v>
      </c>
      <c r="L6" s="11"/>
      <c r="M6" s="11" t="s">
        <v>401</v>
      </c>
      <c r="N6" s="1">
        <v>0.75</v>
      </c>
      <c r="P6" s="3"/>
      <c r="S6" s="3"/>
      <c r="T6" s="3"/>
      <c r="U6" s="10"/>
      <c r="V6" s="3"/>
      <c r="W6" s="3"/>
      <c r="X6" s="3"/>
      <c r="Y6" s="15"/>
      <c r="Z6" s="3"/>
      <c r="AA6" s="3"/>
      <c r="AB6" s="3"/>
      <c r="AC6" s="3"/>
    </row>
    <row r="7" spans="1:36" ht="16.5" customHeight="1">
      <c r="A7" s="1">
        <v>6</v>
      </c>
      <c r="B7" s="1" t="s">
        <v>2246</v>
      </c>
      <c r="C7" s="1" t="s">
        <v>2247</v>
      </c>
      <c r="D7" s="11" t="s">
        <v>493</v>
      </c>
      <c r="E7" s="4" t="s">
        <v>456</v>
      </c>
      <c r="F7" s="10" t="s">
        <v>318</v>
      </c>
      <c r="G7" s="3" t="s">
        <v>1447</v>
      </c>
      <c r="H7" s="1">
        <v>2030</v>
      </c>
      <c r="I7" s="10" t="s">
        <v>302</v>
      </c>
      <c r="L7" s="4"/>
      <c r="M7" s="4" t="s">
        <v>396</v>
      </c>
      <c r="N7" s="1">
        <v>0.75</v>
      </c>
      <c r="P7" s="3"/>
      <c r="S7" s="3"/>
      <c r="T7" s="3"/>
      <c r="U7" s="10"/>
      <c r="V7" s="3"/>
      <c r="W7" s="3"/>
      <c r="X7" s="3"/>
      <c r="Y7" s="15"/>
      <c r="Z7" s="3"/>
      <c r="AA7" s="3"/>
      <c r="AB7" s="3"/>
      <c r="AC7" s="3"/>
    </row>
    <row r="8" spans="1:36" ht="16.5" customHeight="1">
      <c r="A8" s="1">
        <v>7</v>
      </c>
      <c r="B8" s="1" t="s">
        <v>2248</v>
      </c>
      <c r="C8" s="1" t="s">
        <v>2249</v>
      </c>
      <c r="D8" s="11" t="s">
        <v>496</v>
      </c>
      <c r="E8" s="4" t="s">
        <v>456</v>
      </c>
      <c r="F8" s="10" t="s">
        <v>319</v>
      </c>
      <c r="G8" s="3" t="s">
        <v>1447</v>
      </c>
      <c r="H8" s="1">
        <v>2030</v>
      </c>
      <c r="I8" s="10" t="s">
        <v>498</v>
      </c>
      <c r="L8" s="4"/>
      <c r="M8" s="4" t="s">
        <v>396</v>
      </c>
      <c r="N8" s="1">
        <v>0.75</v>
      </c>
      <c r="P8" s="3"/>
      <c r="S8" s="3"/>
      <c r="T8" s="3"/>
      <c r="U8" s="10"/>
      <c r="V8" s="3"/>
      <c r="W8" s="3"/>
      <c r="X8" s="3"/>
      <c r="Y8" s="15"/>
      <c r="Z8" s="3"/>
      <c r="AA8" s="3"/>
      <c r="AB8" s="3"/>
      <c r="AC8" s="3"/>
    </row>
    <row r="9" spans="1:36" ht="16.5" customHeight="1">
      <c r="A9" s="1">
        <v>8</v>
      </c>
      <c r="B9" s="1" t="s">
        <v>2250</v>
      </c>
      <c r="C9" s="1" t="s">
        <v>2251</v>
      </c>
      <c r="D9" s="4" t="s">
        <v>499</v>
      </c>
      <c r="E9" s="4" t="s">
        <v>456</v>
      </c>
      <c r="F9" s="10" t="s">
        <v>316</v>
      </c>
      <c r="G9" s="3" t="s">
        <v>1447</v>
      </c>
      <c r="H9" s="1">
        <v>2020</v>
      </c>
      <c r="I9" s="12" t="s">
        <v>339</v>
      </c>
      <c r="J9" s="1">
        <v>1</v>
      </c>
      <c r="L9" s="4"/>
      <c r="M9" s="4" t="s">
        <v>501</v>
      </c>
      <c r="N9" s="1" t="s">
        <v>2252</v>
      </c>
      <c r="P9" s="13">
        <v>30</v>
      </c>
      <c r="Q9" s="1"/>
      <c r="R9" s="1"/>
      <c r="S9" s="3"/>
      <c r="T9" s="3"/>
      <c r="U9" s="10" t="s">
        <v>475</v>
      </c>
      <c r="V9" s="3"/>
      <c r="W9" s="3"/>
      <c r="X9" s="3"/>
      <c r="Y9" s="14">
        <v>3000</v>
      </c>
      <c r="Z9" s="3"/>
      <c r="AA9" s="13">
        <v>90</v>
      </c>
      <c r="AB9" s="3"/>
      <c r="AC9" s="3"/>
      <c r="AD9" s="1"/>
      <c r="AE9" s="1" t="s">
        <v>2253</v>
      </c>
      <c r="AF9" s="1" t="s">
        <v>2254</v>
      </c>
      <c r="AG9" s="1"/>
      <c r="AH9" s="1"/>
      <c r="AI9" s="1"/>
      <c r="AJ9" s="1"/>
    </row>
    <row r="10" spans="1:36" ht="16.5" customHeight="1">
      <c r="A10" s="1">
        <v>9</v>
      </c>
      <c r="B10" s="1" t="s">
        <v>2255</v>
      </c>
      <c r="C10" s="1" t="s">
        <v>2256</v>
      </c>
      <c r="D10" s="4" t="s">
        <v>499</v>
      </c>
      <c r="E10" s="4" t="s">
        <v>456</v>
      </c>
      <c r="F10" s="10" t="s">
        <v>316</v>
      </c>
      <c r="G10" s="3" t="s">
        <v>1447</v>
      </c>
      <c r="H10" s="1">
        <v>2040</v>
      </c>
      <c r="I10" s="10" t="s">
        <v>1553</v>
      </c>
      <c r="J10" s="1" t="s">
        <v>2257</v>
      </c>
      <c r="L10" s="4"/>
      <c r="M10" s="4" t="s">
        <v>2258</v>
      </c>
      <c r="N10" s="1" t="s">
        <v>2259</v>
      </c>
      <c r="P10" s="13">
        <v>30</v>
      </c>
      <c r="Q10" s="1"/>
      <c r="R10" s="1"/>
      <c r="S10" s="3"/>
      <c r="T10" s="3"/>
      <c r="U10" s="10" t="s">
        <v>475</v>
      </c>
      <c r="V10" s="3"/>
      <c r="W10" s="3"/>
      <c r="X10" s="3"/>
      <c r="Y10" s="14">
        <v>3000</v>
      </c>
      <c r="Z10" s="3"/>
      <c r="AA10" s="13">
        <v>90</v>
      </c>
      <c r="AB10" s="3"/>
      <c r="AC10" s="3"/>
      <c r="AD10" s="1"/>
      <c r="AE10" s="1"/>
      <c r="AF10" s="1" t="s">
        <v>2260</v>
      </c>
      <c r="AG10" s="1"/>
      <c r="AH10" s="1"/>
      <c r="AI10" s="1"/>
      <c r="AJ10" s="1"/>
    </row>
    <row r="11" spans="1:36" ht="16.5" customHeight="1">
      <c r="A11" s="1">
        <v>10</v>
      </c>
      <c r="B11" s="1" t="s">
        <v>2261</v>
      </c>
      <c r="C11" s="1" t="s">
        <v>2262</v>
      </c>
      <c r="D11" s="4" t="s">
        <v>502</v>
      </c>
      <c r="E11" s="4" t="s">
        <v>456</v>
      </c>
      <c r="F11" s="10" t="s">
        <v>318</v>
      </c>
      <c r="G11" s="3" t="s">
        <v>1447</v>
      </c>
      <c r="H11" s="1">
        <v>2030</v>
      </c>
      <c r="I11" s="10" t="s">
        <v>504</v>
      </c>
      <c r="J11" s="1" t="s">
        <v>2263</v>
      </c>
      <c r="L11" s="11"/>
      <c r="M11" s="11" t="s">
        <v>2264</v>
      </c>
      <c r="N11" s="1" t="s">
        <v>2265</v>
      </c>
      <c r="P11" s="13">
        <v>30</v>
      </c>
      <c r="Q11" s="1"/>
      <c r="R11" s="1"/>
      <c r="S11" s="3"/>
      <c r="T11" s="3"/>
      <c r="U11" s="10" t="s">
        <v>475</v>
      </c>
      <c r="V11" s="3"/>
      <c r="W11" s="3"/>
      <c r="X11" s="3"/>
      <c r="Y11" s="14">
        <v>720</v>
      </c>
      <c r="Z11" s="3"/>
      <c r="AA11" s="13">
        <v>36</v>
      </c>
      <c r="AB11" s="3"/>
      <c r="AC11" s="3"/>
      <c r="AD11" s="1"/>
      <c r="AE11" s="1" t="s">
        <v>2266</v>
      </c>
      <c r="AF11" s="1" t="s">
        <v>2267</v>
      </c>
      <c r="AG11" s="1"/>
      <c r="AH11" s="1"/>
      <c r="AI11" s="1"/>
      <c r="AJ11" s="1"/>
    </row>
    <row r="12" spans="1:36" ht="16.5" customHeight="1">
      <c r="A12" s="1">
        <v>11</v>
      </c>
      <c r="B12" s="1" t="s">
        <v>2268</v>
      </c>
      <c r="C12" s="1" t="s">
        <v>2269</v>
      </c>
      <c r="D12" s="4" t="s">
        <v>502</v>
      </c>
      <c r="E12" s="4" t="s">
        <v>456</v>
      </c>
      <c r="F12" s="10" t="s">
        <v>316</v>
      </c>
      <c r="G12" s="3" t="s">
        <v>1447</v>
      </c>
      <c r="H12" s="1">
        <v>2040</v>
      </c>
      <c r="I12" s="10" t="s">
        <v>504</v>
      </c>
      <c r="J12" s="1" t="s">
        <v>2263</v>
      </c>
      <c r="L12" s="11"/>
      <c r="M12" s="11" t="s">
        <v>2264</v>
      </c>
      <c r="N12" s="1" t="s">
        <v>2265</v>
      </c>
      <c r="P12" s="13">
        <v>30</v>
      </c>
      <c r="Q12" s="1"/>
      <c r="R12" s="1"/>
      <c r="S12" s="3"/>
      <c r="T12" s="3"/>
      <c r="U12" s="10" t="s">
        <v>475</v>
      </c>
      <c r="V12" s="3"/>
      <c r="W12" s="3"/>
      <c r="X12" s="3"/>
      <c r="Y12" s="14">
        <v>360</v>
      </c>
      <c r="Z12" s="3"/>
      <c r="AA12" s="13">
        <v>18</v>
      </c>
      <c r="AB12" s="3"/>
      <c r="AC12" s="3"/>
      <c r="AD12" s="1"/>
      <c r="AE12" s="1" t="s">
        <v>2266</v>
      </c>
      <c r="AF12" s="1" t="s">
        <v>2267</v>
      </c>
      <c r="AG12" s="1"/>
      <c r="AH12" s="1"/>
      <c r="AI12" s="1"/>
      <c r="AJ12" s="1"/>
    </row>
    <row r="13" spans="1:36" ht="16.5" customHeight="1">
      <c r="A13" s="1">
        <v>12</v>
      </c>
      <c r="B13" s="1" t="s">
        <v>2270</v>
      </c>
      <c r="C13" s="1" t="s">
        <v>2271</v>
      </c>
      <c r="D13" s="4" t="s">
        <v>502</v>
      </c>
      <c r="E13" s="4" t="s">
        <v>456</v>
      </c>
      <c r="F13" s="10" t="s">
        <v>316</v>
      </c>
      <c r="G13" s="3" t="s">
        <v>1447</v>
      </c>
      <c r="H13" s="1">
        <v>2050</v>
      </c>
      <c r="I13" s="10" t="s">
        <v>504</v>
      </c>
      <c r="J13" s="1" t="s">
        <v>2263</v>
      </c>
      <c r="L13" s="11"/>
      <c r="M13" s="11" t="s">
        <v>2264</v>
      </c>
      <c r="N13" s="1" t="s">
        <v>2265</v>
      </c>
      <c r="P13" s="13">
        <v>30</v>
      </c>
      <c r="Q13" s="1"/>
      <c r="R13" s="1"/>
      <c r="S13" s="3"/>
      <c r="T13" s="3"/>
      <c r="U13" s="10" t="s">
        <v>475</v>
      </c>
      <c r="V13" s="3"/>
      <c r="W13" s="3"/>
      <c r="X13" s="3"/>
      <c r="Y13" s="14">
        <v>200</v>
      </c>
      <c r="Z13" s="3"/>
      <c r="AA13" s="13">
        <v>10</v>
      </c>
      <c r="AB13" s="3"/>
      <c r="AC13" s="3"/>
      <c r="AD13" s="1"/>
      <c r="AE13" s="1" t="s">
        <v>2266</v>
      </c>
      <c r="AF13" s="1" t="s">
        <v>2267</v>
      </c>
      <c r="AG13" s="1"/>
      <c r="AH13" s="1"/>
      <c r="AI13" s="1"/>
      <c r="AJ13" s="1"/>
    </row>
    <row r="14" spans="1:36" ht="16.5" customHeight="1">
      <c r="A14" s="1">
        <v>13</v>
      </c>
      <c r="B14" s="1" t="s">
        <v>2272</v>
      </c>
      <c r="C14" s="1" t="s">
        <v>2273</v>
      </c>
      <c r="D14" s="4" t="s">
        <v>506</v>
      </c>
      <c r="E14" s="4" t="s">
        <v>456</v>
      </c>
      <c r="F14" s="10" t="s">
        <v>318</v>
      </c>
      <c r="G14" s="3" t="s">
        <v>1447</v>
      </c>
      <c r="H14" s="1">
        <v>2030</v>
      </c>
      <c r="I14" s="10" t="s">
        <v>508</v>
      </c>
      <c r="J14" s="1" t="s">
        <v>2274</v>
      </c>
      <c r="L14" s="11"/>
      <c r="M14" s="11" t="s">
        <v>2264</v>
      </c>
      <c r="N14" s="1" t="s">
        <v>2275</v>
      </c>
      <c r="P14" s="13">
        <v>30</v>
      </c>
      <c r="S14" s="3"/>
      <c r="T14" s="3"/>
      <c r="U14" s="10" t="s">
        <v>475</v>
      </c>
      <c r="V14" s="3"/>
      <c r="W14" s="3"/>
      <c r="X14" s="3"/>
      <c r="Y14" s="14">
        <v>720</v>
      </c>
      <c r="Z14" s="3"/>
      <c r="AA14" s="13">
        <v>36</v>
      </c>
      <c r="AB14" s="3"/>
      <c r="AC14" s="3"/>
      <c r="AF14" s="1" t="s">
        <v>2276</v>
      </c>
    </row>
    <row r="15" spans="1:36" ht="16.5" customHeight="1">
      <c r="A15" s="1">
        <v>14</v>
      </c>
      <c r="B15" s="1" t="s">
        <v>2277</v>
      </c>
      <c r="C15" s="1" t="s">
        <v>2278</v>
      </c>
      <c r="D15" s="4" t="s">
        <v>506</v>
      </c>
      <c r="E15" s="4" t="s">
        <v>456</v>
      </c>
      <c r="F15" s="10" t="s">
        <v>316</v>
      </c>
      <c r="G15" s="3" t="s">
        <v>1447</v>
      </c>
      <c r="H15" s="1">
        <v>2040</v>
      </c>
      <c r="I15" s="10" t="s">
        <v>508</v>
      </c>
      <c r="J15" s="1" t="s">
        <v>2274</v>
      </c>
      <c r="L15" s="11"/>
      <c r="M15" s="11" t="s">
        <v>2264</v>
      </c>
      <c r="N15" s="1" t="s">
        <v>2275</v>
      </c>
      <c r="P15" s="13">
        <v>30</v>
      </c>
      <c r="S15" s="3"/>
      <c r="T15" s="3"/>
      <c r="U15" s="10" t="s">
        <v>475</v>
      </c>
      <c r="V15" s="3"/>
      <c r="W15" s="3"/>
      <c r="X15" s="3"/>
      <c r="Y15" s="14">
        <v>360</v>
      </c>
      <c r="Z15" s="3"/>
      <c r="AA15" s="13">
        <v>18</v>
      </c>
      <c r="AB15" s="3"/>
      <c r="AC15" s="3"/>
      <c r="AF15" s="1" t="s">
        <v>2276</v>
      </c>
    </row>
    <row r="16" spans="1:36" ht="16.5" customHeight="1">
      <c r="A16" s="1">
        <v>15</v>
      </c>
      <c r="B16" s="1" t="s">
        <v>2279</v>
      </c>
      <c r="C16" s="1" t="s">
        <v>2280</v>
      </c>
      <c r="D16" s="4" t="s">
        <v>506</v>
      </c>
      <c r="E16" s="4" t="s">
        <v>456</v>
      </c>
      <c r="F16" s="10" t="s">
        <v>316</v>
      </c>
      <c r="G16" s="3" t="s">
        <v>1447</v>
      </c>
      <c r="H16" s="1">
        <v>2050</v>
      </c>
      <c r="I16" s="10" t="s">
        <v>508</v>
      </c>
      <c r="J16" s="1" t="s">
        <v>2274</v>
      </c>
      <c r="L16" s="11"/>
      <c r="M16" s="11" t="s">
        <v>2264</v>
      </c>
      <c r="N16" s="1" t="s">
        <v>2275</v>
      </c>
      <c r="P16" s="13">
        <v>30</v>
      </c>
      <c r="S16" s="3"/>
      <c r="T16" s="3"/>
      <c r="U16" s="10" t="s">
        <v>475</v>
      </c>
      <c r="V16" s="3"/>
      <c r="W16" s="3"/>
      <c r="X16" s="3"/>
      <c r="Y16" s="14">
        <v>200</v>
      </c>
      <c r="Z16" s="3"/>
      <c r="AA16" s="13">
        <v>10</v>
      </c>
      <c r="AB16" s="3"/>
      <c r="AC16" s="3"/>
      <c r="AF16" s="1" t="s">
        <v>2276</v>
      </c>
    </row>
    <row r="17" spans="1:32" ht="16.5" customHeight="1">
      <c r="A17" s="1">
        <v>16</v>
      </c>
      <c r="B17" s="1" t="s">
        <v>2281</v>
      </c>
      <c r="C17" s="1" t="s">
        <v>2282</v>
      </c>
      <c r="D17" s="4" t="s">
        <v>509</v>
      </c>
      <c r="E17" s="4" t="s">
        <v>456</v>
      </c>
      <c r="F17" s="10" t="s">
        <v>318</v>
      </c>
      <c r="G17" s="3" t="s">
        <v>1447</v>
      </c>
      <c r="H17" s="1">
        <v>2030</v>
      </c>
      <c r="I17" s="10" t="s">
        <v>513</v>
      </c>
      <c r="J17" s="1" t="s">
        <v>2283</v>
      </c>
      <c r="L17" s="4"/>
      <c r="M17" s="4" t="s">
        <v>417</v>
      </c>
      <c r="N17" s="1">
        <v>0.42</v>
      </c>
      <c r="P17" s="13">
        <v>30</v>
      </c>
      <c r="S17" s="3"/>
      <c r="T17" s="3"/>
      <c r="U17" s="10" t="s">
        <v>475</v>
      </c>
      <c r="V17" s="3"/>
      <c r="W17" s="3"/>
      <c r="X17" s="3"/>
      <c r="Y17" s="14">
        <v>1250</v>
      </c>
      <c r="Z17" s="3"/>
      <c r="AA17" s="13">
        <v>63</v>
      </c>
      <c r="AB17" s="3"/>
      <c r="AC17" s="3"/>
      <c r="AF17" s="1" t="s">
        <v>2284</v>
      </c>
    </row>
    <row r="18" spans="1:32" ht="16.5" customHeight="1">
      <c r="A18" s="1">
        <v>17</v>
      </c>
      <c r="B18" s="1" t="s">
        <v>2285</v>
      </c>
      <c r="C18" s="1" t="s">
        <v>2286</v>
      </c>
      <c r="D18" s="4" t="s">
        <v>509</v>
      </c>
      <c r="E18" s="4" t="s">
        <v>456</v>
      </c>
      <c r="F18" s="10" t="s">
        <v>318</v>
      </c>
      <c r="G18" s="3" t="s">
        <v>1447</v>
      </c>
      <c r="H18" s="1">
        <v>2040</v>
      </c>
      <c r="I18" s="10" t="s">
        <v>513</v>
      </c>
      <c r="J18" s="1" t="s">
        <v>2283</v>
      </c>
      <c r="L18" s="4"/>
      <c r="M18" s="4" t="s">
        <v>417</v>
      </c>
      <c r="N18" s="1">
        <v>0.42</v>
      </c>
      <c r="P18" s="13">
        <v>30</v>
      </c>
      <c r="S18" s="3"/>
      <c r="T18" s="3"/>
      <c r="U18" s="10" t="s">
        <v>475</v>
      </c>
      <c r="V18" s="3"/>
      <c r="W18" s="3"/>
      <c r="X18" s="3"/>
      <c r="Y18" s="14">
        <v>800</v>
      </c>
      <c r="Z18" s="3"/>
      <c r="AA18" s="13">
        <v>40</v>
      </c>
      <c r="AB18" s="3"/>
      <c r="AC18" s="3"/>
      <c r="AF18" s="1" t="s">
        <v>2287</v>
      </c>
    </row>
  </sheetData>
  <autoFilter ref="A1:AF18" xr:uid="{00000000-0009-0000-0000-000008000000}"/>
  <pageMargins left="0" right="0" top="0" bottom="0" header="0" footer="0"/>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F651-46A9-428A-9A59-36D6E355FBBA}">
  <sheetPr>
    <tabColor theme="8" tint="0.59999389629810485"/>
  </sheetPr>
  <dimension ref="B1:G16"/>
  <sheetViews>
    <sheetView workbookViewId="0">
      <selection activeCell="B16" sqref="B14:B16"/>
    </sheetView>
  </sheetViews>
  <sheetFormatPr defaultColWidth="8.5546875" defaultRowHeight="12.75" customHeight="1"/>
  <cols>
    <col min="2" max="2" width="57.44140625" customWidth="1"/>
    <col min="3" max="3" width="11.5546875" customWidth="1"/>
    <col min="4" max="5" width="11.44140625" customWidth="1"/>
    <col min="6" max="6" width="17.44140625" customWidth="1"/>
    <col min="7" max="7" width="70" bestFit="1" customWidth="1"/>
  </cols>
  <sheetData>
    <row r="1" spans="2:7" ht="13.2">
      <c r="B1" s="62" t="s">
        <v>2288</v>
      </c>
      <c r="C1" s="62" t="s">
        <v>2289</v>
      </c>
      <c r="D1" s="62" t="s">
        <v>2290</v>
      </c>
      <c r="E1" s="62" t="s">
        <v>2291</v>
      </c>
      <c r="F1" s="62" t="s">
        <v>1410</v>
      </c>
      <c r="G1" s="62" t="s">
        <v>333</v>
      </c>
    </row>
    <row r="2" spans="2:7" ht="12.75" customHeight="1">
      <c r="B2" t="s">
        <v>2292</v>
      </c>
      <c r="C2" t="s">
        <v>1533</v>
      </c>
      <c r="D2">
        <v>1000</v>
      </c>
      <c r="G2" s="65" t="s">
        <v>2293</v>
      </c>
    </row>
    <row r="3" spans="2:7" ht="13.2">
      <c r="B3" t="s">
        <v>2292</v>
      </c>
      <c r="C3" s="58" t="s">
        <v>2294</v>
      </c>
      <c r="D3">
        <v>1400</v>
      </c>
    </row>
    <row r="4" spans="2:7" ht="13.2">
      <c r="B4" t="s">
        <v>2292</v>
      </c>
      <c r="C4" t="s">
        <v>1497</v>
      </c>
      <c r="D4">
        <v>2000</v>
      </c>
    </row>
    <row r="5" spans="2:7" ht="12.75" customHeight="1">
      <c r="B5" t="s">
        <v>2059</v>
      </c>
      <c r="C5" s="104" t="s">
        <v>1497</v>
      </c>
      <c r="D5" s="104">
        <v>3019</v>
      </c>
      <c r="E5" s="104"/>
      <c r="F5" s="104">
        <v>75</v>
      </c>
      <c r="G5" s="103" t="s">
        <v>31</v>
      </c>
    </row>
    <row r="6" spans="2:7" ht="12.75" customHeight="1">
      <c r="B6" t="s">
        <v>2059</v>
      </c>
      <c r="C6" s="104" t="s">
        <v>1533</v>
      </c>
      <c r="D6" s="104">
        <v>2500</v>
      </c>
      <c r="E6" s="104"/>
      <c r="F6" s="104">
        <v>39</v>
      </c>
      <c r="G6" s="66" t="s">
        <v>1199</v>
      </c>
    </row>
    <row r="7" spans="2:7" ht="12.75" customHeight="1">
      <c r="B7" t="s">
        <v>2063</v>
      </c>
      <c r="C7" s="104" t="s">
        <v>2295</v>
      </c>
      <c r="D7" s="104">
        <v>3019</v>
      </c>
      <c r="E7" s="104"/>
      <c r="F7" s="104">
        <v>71</v>
      </c>
      <c r="G7" s="103" t="s">
        <v>31</v>
      </c>
    </row>
    <row r="8" spans="2:7" ht="12.75" customHeight="1">
      <c r="B8" t="s">
        <v>2063</v>
      </c>
      <c r="C8" s="104" t="s">
        <v>1533</v>
      </c>
      <c r="D8" s="104">
        <v>2084</v>
      </c>
      <c r="E8" s="104"/>
      <c r="F8" s="104">
        <v>33</v>
      </c>
      <c r="G8" s="66" t="s">
        <v>1199</v>
      </c>
    </row>
    <row r="9" spans="2:7" ht="12.75" customHeight="1">
      <c r="B9" t="s">
        <v>2067</v>
      </c>
      <c r="C9" s="104" t="s">
        <v>2295</v>
      </c>
      <c r="D9" s="104">
        <v>2695</v>
      </c>
      <c r="E9" s="104"/>
      <c r="F9" s="104">
        <v>67</v>
      </c>
      <c r="G9" s="103" t="s">
        <v>31</v>
      </c>
    </row>
    <row r="10" spans="2:7" ht="12.75" customHeight="1">
      <c r="B10" t="s">
        <v>2067</v>
      </c>
      <c r="C10" s="104" t="s">
        <v>1533</v>
      </c>
      <c r="D10" s="104">
        <v>1668</v>
      </c>
      <c r="E10" s="104"/>
      <c r="F10" s="104">
        <v>27</v>
      </c>
      <c r="G10" s="66" t="s">
        <v>1199</v>
      </c>
    </row>
    <row r="11" spans="2:7" ht="12.75" customHeight="1">
      <c r="B11" t="s">
        <v>2070</v>
      </c>
      <c r="C11" s="104" t="s">
        <v>2295</v>
      </c>
      <c r="D11" s="104">
        <v>2533</v>
      </c>
      <c r="E11" s="104"/>
      <c r="F11" s="104">
        <v>63</v>
      </c>
      <c r="G11" s="103" t="s">
        <v>31</v>
      </c>
    </row>
    <row r="12" spans="2:7" ht="12.75" customHeight="1">
      <c r="B12" t="s">
        <v>2070</v>
      </c>
      <c r="C12" s="104" t="s">
        <v>1533</v>
      </c>
      <c r="D12" s="104">
        <v>1253</v>
      </c>
      <c r="E12" s="104"/>
      <c r="F12" s="104">
        <v>21</v>
      </c>
      <c r="G12" s="66" t="s">
        <v>1199</v>
      </c>
    </row>
    <row r="13" spans="2:7" ht="12.75" customHeight="1">
      <c r="B13" t="s">
        <v>1355</v>
      </c>
      <c r="C13" s="104" t="s">
        <v>2295</v>
      </c>
      <c r="D13" s="104">
        <v>4182</v>
      </c>
      <c r="F13" s="104">
        <v>0.19600000000000001</v>
      </c>
      <c r="G13" t="s">
        <v>1205</v>
      </c>
    </row>
    <row r="14" spans="2:7" ht="12.75" customHeight="1">
      <c r="B14" t="s">
        <v>1355</v>
      </c>
      <c r="C14" s="104" t="s">
        <v>1533</v>
      </c>
      <c r="D14" s="104">
        <v>2231</v>
      </c>
      <c r="F14" s="104">
        <v>0.22</v>
      </c>
      <c r="G14" t="s">
        <v>1205</v>
      </c>
    </row>
    <row r="15" spans="2:7" ht="12.75" customHeight="1">
      <c r="B15" t="s">
        <v>2172</v>
      </c>
      <c r="C15" s="104" t="s">
        <v>2295</v>
      </c>
      <c r="D15">
        <f>7000/5</f>
        <v>1400</v>
      </c>
    </row>
    <row r="16" spans="2:7" ht="12.75" customHeight="1">
      <c r="B16" t="s">
        <v>2172</v>
      </c>
      <c r="C16" s="104" t="s">
        <v>1533</v>
      </c>
      <c r="D16">
        <f>3500/5</f>
        <v>700</v>
      </c>
    </row>
  </sheetData>
  <hyperlinks>
    <hyperlink ref="G5" r:id="rId1" xr:uid="{0A5DE5C0-5F69-4A4F-BE16-E5CD310C7BB2}"/>
    <hyperlink ref="G7" r:id="rId2" xr:uid="{84D40A19-58A0-4C61-8208-0C86507143E8}"/>
    <hyperlink ref="G9" r:id="rId3" xr:uid="{2BD9768D-9FAB-41BC-A38A-F6D09E7746E1}"/>
    <hyperlink ref="G11" r:id="rId4" xr:uid="{64C99F88-B18D-43C2-A145-43457FCE64F6}"/>
  </hyperlinks>
  <pageMargins left="0.7" right="0.7" top="0.75" bottom="0.75" header="0.3" footer="0.3"/>
  <legacyDrawing r:id="rId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C374D-7363-4D78-BC10-2F3D8669693B}">
  <sheetPr>
    <tabColor theme="2" tint="-0.249977111117893"/>
  </sheetPr>
  <dimension ref="A1:L212"/>
  <sheetViews>
    <sheetView workbookViewId="0"/>
  </sheetViews>
  <sheetFormatPr defaultColWidth="8.5546875" defaultRowHeight="15.6"/>
  <cols>
    <col min="1" max="1" width="16.44140625" style="18" customWidth="1"/>
    <col min="2" max="2" width="21.44140625" style="18" bestFit="1" customWidth="1"/>
    <col min="3" max="3" width="19.5546875" style="18" bestFit="1" customWidth="1"/>
    <col min="4" max="4" width="14.44140625" style="18" customWidth="1"/>
    <col min="5" max="5" width="27.44140625" style="18" customWidth="1"/>
    <col min="6" max="6" width="22.44140625" style="18" bestFit="1" customWidth="1"/>
    <col min="7" max="7" width="53.44140625" style="18" customWidth="1"/>
    <col min="8" max="8" width="19.44140625" style="96" customWidth="1"/>
    <col min="9" max="9" width="20.44140625" style="97" customWidth="1"/>
    <col min="10" max="10" width="26.5546875" style="97" customWidth="1"/>
    <col min="11" max="11" width="25.5546875" style="97" customWidth="1"/>
    <col min="12" max="12" width="19.5546875" style="18" customWidth="1"/>
    <col min="13" max="16384" width="8.5546875" style="18"/>
  </cols>
  <sheetData>
    <row r="1" spans="1:12" s="38" customFormat="1" ht="40.35" customHeight="1">
      <c r="A1" s="32" t="s">
        <v>2289</v>
      </c>
      <c r="B1" s="32"/>
      <c r="C1" s="36" t="s">
        <v>2296</v>
      </c>
      <c r="D1" s="36"/>
      <c r="E1" s="42" t="s">
        <v>2297</v>
      </c>
      <c r="F1" s="42"/>
      <c r="G1" s="42"/>
      <c r="H1" s="98" t="s">
        <v>2298</v>
      </c>
      <c r="I1" s="99"/>
      <c r="J1" s="99"/>
      <c r="K1" s="99"/>
      <c r="L1" s="44" t="s">
        <v>2299</v>
      </c>
    </row>
    <row r="2" spans="1:12">
      <c r="A2" s="45" t="s">
        <v>2300</v>
      </c>
      <c r="B2" s="45" t="s">
        <v>2301</v>
      </c>
      <c r="C2" s="45" t="s">
        <v>2212</v>
      </c>
      <c r="D2" s="45" t="s">
        <v>1312</v>
      </c>
      <c r="E2" s="19" t="s">
        <v>2302</v>
      </c>
      <c r="F2" s="19" t="s">
        <v>2303</v>
      </c>
      <c r="G2" s="19" t="s">
        <v>77</v>
      </c>
      <c r="H2" s="100" t="s">
        <v>2304</v>
      </c>
      <c r="I2" s="101" t="s">
        <v>2305</v>
      </c>
      <c r="J2" s="101" t="s">
        <v>2306</v>
      </c>
      <c r="K2" s="101" t="s">
        <v>2307</v>
      </c>
      <c r="L2" s="45"/>
    </row>
    <row r="3" spans="1:12">
      <c r="A3" s="45"/>
      <c r="B3" s="45"/>
      <c r="C3" s="45"/>
      <c r="D3" s="45"/>
      <c r="E3" s="19"/>
      <c r="F3" s="19"/>
      <c r="G3" s="19"/>
      <c r="H3" s="100" t="s">
        <v>2308</v>
      </c>
      <c r="I3" s="101" t="s">
        <v>2308</v>
      </c>
      <c r="J3" s="101" t="s">
        <v>2309</v>
      </c>
      <c r="K3" s="101" t="s">
        <v>2309</v>
      </c>
      <c r="L3" s="45"/>
    </row>
    <row r="4" spans="1:12" ht="16.350000000000001" customHeight="1">
      <c r="A4" s="18" t="s">
        <v>2310</v>
      </c>
      <c r="B4" s="47" t="s">
        <v>2311</v>
      </c>
      <c r="C4" s="18" t="s">
        <v>456</v>
      </c>
      <c r="D4" s="18">
        <v>2020</v>
      </c>
      <c r="E4" s="18" t="s">
        <v>285</v>
      </c>
      <c r="F4" s="18" t="s">
        <v>258</v>
      </c>
      <c r="G4" s="31" t="s">
        <v>845</v>
      </c>
      <c r="H4" s="96">
        <v>0.42199999999999999</v>
      </c>
      <c r="L4" s="97"/>
    </row>
    <row r="5" spans="1:12">
      <c r="B5" s="18" t="s">
        <v>2311</v>
      </c>
      <c r="C5" s="18" t="s">
        <v>456</v>
      </c>
      <c r="D5" s="18">
        <v>2030</v>
      </c>
      <c r="E5" s="18" t="s">
        <v>285</v>
      </c>
      <c r="F5" s="18" t="s">
        <v>258</v>
      </c>
      <c r="G5" s="31" t="s">
        <v>845</v>
      </c>
      <c r="H5" s="96">
        <v>0.42199999999999999</v>
      </c>
      <c r="L5" s="97"/>
    </row>
    <row r="6" spans="1:12">
      <c r="B6" s="18" t="s">
        <v>2311</v>
      </c>
      <c r="C6" s="18" t="s">
        <v>456</v>
      </c>
      <c r="D6" s="18">
        <v>2020</v>
      </c>
      <c r="E6" s="18" t="s">
        <v>262</v>
      </c>
      <c r="F6" s="18" t="s">
        <v>258</v>
      </c>
      <c r="G6" s="31" t="s">
        <v>1109</v>
      </c>
      <c r="H6" s="96">
        <v>0.496</v>
      </c>
      <c r="J6" s="97">
        <v>1.69</v>
      </c>
      <c r="K6" s="97">
        <v>1.69</v>
      </c>
      <c r="L6" s="97"/>
    </row>
    <row r="7" spans="1:12">
      <c r="B7" s="18" t="s">
        <v>2311</v>
      </c>
      <c r="C7" s="18" t="s">
        <v>456</v>
      </c>
      <c r="D7" s="18">
        <v>2030</v>
      </c>
      <c r="E7" s="18" t="s">
        <v>262</v>
      </c>
      <c r="F7" s="18" t="s">
        <v>258</v>
      </c>
      <c r="G7" s="31" t="s">
        <v>1109</v>
      </c>
      <c r="H7" s="96">
        <v>0.496</v>
      </c>
      <c r="L7" s="97"/>
    </row>
    <row r="8" spans="1:12">
      <c r="B8" s="18" t="s">
        <v>2311</v>
      </c>
      <c r="C8" s="18" t="s">
        <v>456</v>
      </c>
      <c r="D8" s="18">
        <v>2020</v>
      </c>
      <c r="E8" s="18" t="s">
        <v>302</v>
      </c>
      <c r="F8" s="18" t="s">
        <v>258</v>
      </c>
      <c r="G8" s="31" t="s">
        <v>853</v>
      </c>
      <c r="H8" s="96">
        <v>0.112</v>
      </c>
      <c r="J8" s="97">
        <v>0.30299999999999999</v>
      </c>
      <c r="K8" s="97">
        <v>0.30299999999999999</v>
      </c>
      <c r="L8" s="97"/>
    </row>
    <row r="9" spans="1:12">
      <c r="B9" s="18" t="s">
        <v>2311</v>
      </c>
      <c r="C9" s="18" t="s">
        <v>456</v>
      </c>
      <c r="D9" s="18">
        <v>2030</v>
      </c>
      <c r="E9" s="18" t="s">
        <v>302</v>
      </c>
      <c r="F9" s="18" t="s">
        <v>258</v>
      </c>
      <c r="G9" s="31" t="s">
        <v>853</v>
      </c>
      <c r="H9" s="96">
        <v>5.6000000000000001E-2</v>
      </c>
      <c r="L9" s="97"/>
    </row>
    <row r="10" spans="1:12">
      <c r="B10" s="18" t="s">
        <v>2311</v>
      </c>
      <c r="C10" s="18" t="s">
        <v>456</v>
      </c>
      <c r="D10" s="18">
        <v>2030</v>
      </c>
      <c r="E10" s="18" t="s">
        <v>262</v>
      </c>
      <c r="F10" s="18" t="s">
        <v>258</v>
      </c>
      <c r="G10" s="31" t="s">
        <v>2312</v>
      </c>
      <c r="I10" s="97">
        <v>1</v>
      </c>
      <c r="L10" s="97"/>
    </row>
    <row r="11" spans="1:12">
      <c r="B11" s="18" t="s">
        <v>2311</v>
      </c>
      <c r="C11" s="18" t="s">
        <v>456</v>
      </c>
      <c r="D11" s="18">
        <v>2030</v>
      </c>
      <c r="E11" s="18" t="s">
        <v>262</v>
      </c>
      <c r="F11" s="18" t="s">
        <v>258</v>
      </c>
      <c r="G11" s="31" t="s">
        <v>2313</v>
      </c>
      <c r="I11" s="97">
        <v>1</v>
      </c>
      <c r="L11" s="97"/>
    </row>
    <row r="12" spans="1:12">
      <c r="B12" s="18" t="s">
        <v>2311</v>
      </c>
      <c r="C12" s="18" t="s">
        <v>456</v>
      </c>
      <c r="D12" s="18">
        <v>2030</v>
      </c>
      <c r="E12" s="18" t="s">
        <v>262</v>
      </c>
      <c r="F12" s="18" t="s">
        <v>258</v>
      </c>
      <c r="G12" s="31" t="s">
        <v>2314</v>
      </c>
      <c r="I12" s="97">
        <v>1</v>
      </c>
      <c r="L12" s="97"/>
    </row>
    <row r="13" spans="1:12">
      <c r="B13" s="18" t="s">
        <v>2311</v>
      </c>
      <c r="C13" s="18" t="s">
        <v>456</v>
      </c>
      <c r="D13" s="18">
        <v>2040</v>
      </c>
      <c r="E13" s="18" t="s">
        <v>838</v>
      </c>
      <c r="F13" s="18" t="s">
        <v>258</v>
      </c>
      <c r="G13" s="31" t="s">
        <v>2315</v>
      </c>
      <c r="I13" s="97">
        <v>0.28699999999999998</v>
      </c>
      <c r="L13" s="97"/>
    </row>
    <row r="14" spans="1:12">
      <c r="B14" s="18" t="s">
        <v>2311</v>
      </c>
      <c r="C14" s="18" t="s">
        <v>456</v>
      </c>
      <c r="D14" s="18">
        <v>2050</v>
      </c>
      <c r="E14" s="18" t="s">
        <v>838</v>
      </c>
      <c r="F14" s="18" t="s">
        <v>258</v>
      </c>
      <c r="G14" s="31" t="s">
        <v>2315</v>
      </c>
      <c r="I14" s="97">
        <v>0.28699999999999998</v>
      </c>
      <c r="L14" s="97"/>
    </row>
    <row r="15" spans="1:12">
      <c r="B15" s="18" t="s">
        <v>2311</v>
      </c>
      <c r="C15" s="18" t="s">
        <v>456</v>
      </c>
      <c r="D15" s="18">
        <v>2020</v>
      </c>
      <c r="E15" s="18" t="s">
        <v>258</v>
      </c>
      <c r="F15" s="18" t="s">
        <v>267</v>
      </c>
      <c r="G15" s="31" t="s">
        <v>967</v>
      </c>
      <c r="J15" s="97">
        <v>5.0209999999999999</v>
      </c>
      <c r="K15" s="97">
        <v>5.0209999999999999</v>
      </c>
      <c r="L15" s="97"/>
    </row>
    <row r="16" spans="1:12">
      <c r="B16" s="18" t="s">
        <v>2311</v>
      </c>
      <c r="C16" s="18" t="s">
        <v>456</v>
      </c>
      <c r="D16" s="18">
        <v>2030</v>
      </c>
      <c r="E16" s="18" t="s">
        <v>258</v>
      </c>
      <c r="F16" s="18" t="s">
        <v>267</v>
      </c>
      <c r="G16" s="31" t="s">
        <v>967</v>
      </c>
      <c r="J16" s="97">
        <v>2.5</v>
      </c>
      <c r="K16" s="97">
        <v>2.5</v>
      </c>
      <c r="L16" s="97"/>
    </row>
    <row r="17" spans="2:12">
      <c r="B17" s="18" t="s">
        <v>2311</v>
      </c>
      <c r="C17" s="18" t="s">
        <v>456</v>
      </c>
      <c r="D17" s="18">
        <v>2040</v>
      </c>
      <c r="E17" s="18" t="s">
        <v>258</v>
      </c>
      <c r="F17" s="18" t="s">
        <v>267</v>
      </c>
      <c r="G17" s="31" t="s">
        <v>967</v>
      </c>
      <c r="J17" s="97">
        <v>0.85</v>
      </c>
      <c r="K17" s="97">
        <v>0.85</v>
      </c>
      <c r="L17" s="97"/>
    </row>
    <row r="18" spans="2:12">
      <c r="B18" s="18" t="s">
        <v>2311</v>
      </c>
      <c r="C18" s="18" t="s">
        <v>456</v>
      </c>
      <c r="D18" s="18">
        <v>2050</v>
      </c>
      <c r="E18" s="18" t="s">
        <v>258</v>
      </c>
      <c r="F18" s="18" t="s">
        <v>267</v>
      </c>
      <c r="G18" s="31" t="s">
        <v>967</v>
      </c>
      <c r="J18" s="97">
        <v>0.17</v>
      </c>
      <c r="K18" s="97">
        <v>0.17</v>
      </c>
      <c r="L18" s="97"/>
    </row>
    <row r="19" spans="2:12">
      <c r="B19" s="18" t="s">
        <v>2311</v>
      </c>
      <c r="C19" s="18" t="s">
        <v>456</v>
      </c>
      <c r="D19" s="18">
        <v>2020</v>
      </c>
      <c r="E19" s="18" t="s">
        <v>258</v>
      </c>
      <c r="F19" s="18" t="s">
        <v>267</v>
      </c>
      <c r="G19" s="31" t="s">
        <v>973</v>
      </c>
      <c r="H19" s="96">
        <v>5.4</v>
      </c>
      <c r="I19" s="97">
        <v>5.4</v>
      </c>
      <c r="L19" s="97"/>
    </row>
    <row r="20" spans="2:12">
      <c r="B20" s="18" t="s">
        <v>2311</v>
      </c>
      <c r="C20" s="18" t="s">
        <v>456</v>
      </c>
      <c r="D20" s="18">
        <v>2030</v>
      </c>
      <c r="E20" s="18" t="s">
        <v>258</v>
      </c>
      <c r="F20" s="18" t="s">
        <v>267</v>
      </c>
      <c r="G20" s="31" t="s">
        <v>973</v>
      </c>
      <c r="I20" s="97">
        <v>18.2</v>
      </c>
      <c r="L20" s="97"/>
    </row>
    <row r="21" spans="2:12">
      <c r="B21" s="18" t="s">
        <v>2311</v>
      </c>
      <c r="C21" s="18" t="s">
        <v>456</v>
      </c>
      <c r="D21" s="18">
        <v>2020</v>
      </c>
      <c r="E21" s="18" t="s">
        <v>302</v>
      </c>
      <c r="F21" s="18" t="s">
        <v>267</v>
      </c>
      <c r="G21" s="31" t="s">
        <v>977</v>
      </c>
      <c r="H21" s="96">
        <v>3.3730000000000002</v>
      </c>
      <c r="L21" s="97"/>
    </row>
    <row r="22" spans="2:12">
      <c r="B22" s="18" t="s">
        <v>2311</v>
      </c>
      <c r="C22" s="18" t="s">
        <v>456</v>
      </c>
      <c r="D22" s="18">
        <v>2030</v>
      </c>
      <c r="E22" s="18" t="s">
        <v>302</v>
      </c>
      <c r="F22" s="18" t="s">
        <v>267</v>
      </c>
      <c r="G22" s="31" t="s">
        <v>977</v>
      </c>
      <c r="H22" s="96">
        <v>1.6865000000000001</v>
      </c>
      <c r="L22" s="97"/>
    </row>
    <row r="23" spans="2:12">
      <c r="B23" s="18" t="s">
        <v>2311</v>
      </c>
      <c r="C23" s="18" t="s">
        <v>456</v>
      </c>
      <c r="D23" s="18">
        <v>2040</v>
      </c>
      <c r="E23" s="18" t="s">
        <v>302</v>
      </c>
      <c r="F23" s="18" t="s">
        <v>267</v>
      </c>
      <c r="G23" s="31" t="s">
        <v>977</v>
      </c>
      <c r="H23" s="96">
        <v>0.84325000000000006</v>
      </c>
      <c r="L23" s="97"/>
    </row>
    <row r="24" spans="2:12">
      <c r="B24" s="18" t="s">
        <v>2311</v>
      </c>
      <c r="C24" s="18" t="s">
        <v>456</v>
      </c>
      <c r="D24" s="18">
        <v>2050</v>
      </c>
      <c r="E24" s="18" t="s">
        <v>302</v>
      </c>
      <c r="F24" s="18" t="s">
        <v>267</v>
      </c>
      <c r="G24" s="31" t="s">
        <v>977</v>
      </c>
      <c r="H24" s="96">
        <v>0.42162500000000003</v>
      </c>
      <c r="L24" s="97"/>
    </row>
    <row r="25" spans="2:12">
      <c r="B25" s="18" t="s">
        <v>2311</v>
      </c>
      <c r="C25" s="18" t="s">
        <v>456</v>
      </c>
      <c r="D25" s="18">
        <v>2020</v>
      </c>
      <c r="E25" s="18" t="s">
        <v>262</v>
      </c>
      <c r="F25" s="18" t="s">
        <v>267</v>
      </c>
      <c r="G25" s="31" t="s">
        <v>1159</v>
      </c>
      <c r="H25" s="96">
        <v>16.489000000000001</v>
      </c>
      <c r="J25" s="97">
        <v>29.680199999999999</v>
      </c>
      <c r="L25" s="97"/>
    </row>
    <row r="26" spans="2:12">
      <c r="B26" s="18" t="s">
        <v>2311</v>
      </c>
      <c r="C26" s="18" t="s">
        <v>456</v>
      </c>
      <c r="D26" s="18">
        <v>2030</v>
      </c>
      <c r="E26" s="18" t="s">
        <v>262</v>
      </c>
      <c r="F26" s="18" t="s">
        <v>267</v>
      </c>
      <c r="G26" s="31" t="s">
        <v>1159</v>
      </c>
      <c r="H26" s="96">
        <v>8.2445000000000004</v>
      </c>
      <c r="J26" s="97">
        <v>14.8401</v>
      </c>
      <c r="L26" s="97"/>
    </row>
    <row r="27" spans="2:12">
      <c r="B27" s="18" t="s">
        <v>2311</v>
      </c>
      <c r="C27" s="18" t="s">
        <v>456</v>
      </c>
      <c r="D27" s="18">
        <v>2040</v>
      </c>
      <c r="E27" s="18" t="s">
        <v>262</v>
      </c>
      <c r="F27" s="18" t="s">
        <v>267</v>
      </c>
      <c r="G27" s="31" t="s">
        <v>1159</v>
      </c>
      <c r="H27" s="96">
        <v>4.1222500000000002</v>
      </c>
      <c r="J27" s="97">
        <v>7.4200499999999998</v>
      </c>
      <c r="L27" s="97"/>
    </row>
    <row r="28" spans="2:12">
      <c r="B28" s="18" t="s">
        <v>2311</v>
      </c>
      <c r="C28" s="18" t="s">
        <v>456</v>
      </c>
      <c r="D28" s="18">
        <v>2020</v>
      </c>
      <c r="E28" s="18" t="s">
        <v>2316</v>
      </c>
      <c r="F28" s="18" t="s">
        <v>267</v>
      </c>
      <c r="G28" s="31" t="s">
        <v>960</v>
      </c>
      <c r="H28" s="96">
        <v>15.245786000000001</v>
      </c>
      <c r="J28" s="97">
        <v>27.442414800000002</v>
      </c>
      <c r="L28" s="97"/>
    </row>
    <row r="29" spans="2:12">
      <c r="B29" s="18" t="s">
        <v>2311</v>
      </c>
      <c r="C29" s="18" t="s">
        <v>456</v>
      </c>
      <c r="D29" s="18">
        <v>2030</v>
      </c>
      <c r="E29" s="18" t="s">
        <v>2316</v>
      </c>
      <c r="F29" s="18" t="s">
        <v>267</v>
      </c>
      <c r="G29" s="31" t="s">
        <v>960</v>
      </c>
      <c r="H29" s="96">
        <v>11.776783999999999</v>
      </c>
      <c r="J29" s="97">
        <v>21.198211199999999</v>
      </c>
      <c r="L29" s="97"/>
    </row>
    <row r="30" spans="2:12">
      <c r="B30" s="18" t="s">
        <v>2311</v>
      </c>
      <c r="C30" s="18" t="s">
        <v>456</v>
      </c>
      <c r="D30" s="18">
        <v>2040</v>
      </c>
      <c r="E30" s="18" t="s">
        <v>2316</v>
      </c>
      <c r="F30" s="18" t="s">
        <v>267</v>
      </c>
      <c r="G30" s="31" t="s">
        <v>960</v>
      </c>
      <c r="H30" s="96">
        <v>2.90672</v>
      </c>
      <c r="J30" s="97">
        <v>5.2320960000000003</v>
      </c>
      <c r="L30" s="97"/>
    </row>
    <row r="31" spans="2:12">
      <c r="B31" s="18" t="s">
        <v>2311</v>
      </c>
      <c r="C31" s="18" t="s">
        <v>456</v>
      </c>
      <c r="D31" s="18">
        <v>2020</v>
      </c>
      <c r="E31" s="18" t="s">
        <v>1018</v>
      </c>
      <c r="F31" s="18" t="s">
        <v>267</v>
      </c>
      <c r="G31" s="31" t="s">
        <v>1032</v>
      </c>
      <c r="H31" s="96">
        <v>110</v>
      </c>
      <c r="I31" s="96">
        <v>110</v>
      </c>
      <c r="L31" s="97"/>
    </row>
    <row r="32" spans="2:12">
      <c r="B32" s="18" t="s">
        <v>2311</v>
      </c>
      <c r="C32" s="18" t="s">
        <v>456</v>
      </c>
      <c r="D32" s="18">
        <v>2030</v>
      </c>
      <c r="E32" s="18" t="s">
        <v>1018</v>
      </c>
      <c r="F32" s="18" t="s">
        <v>267</v>
      </c>
      <c r="G32" s="31" t="s">
        <v>1032</v>
      </c>
      <c r="H32" s="96">
        <v>110</v>
      </c>
      <c r="I32" s="96">
        <v>110</v>
      </c>
      <c r="L32" s="97"/>
    </row>
    <row r="33" spans="2:12">
      <c r="B33" s="18" t="s">
        <v>2311</v>
      </c>
      <c r="C33" s="18" t="s">
        <v>456</v>
      </c>
      <c r="D33" s="18">
        <v>2040</v>
      </c>
      <c r="E33" s="18" t="s">
        <v>1018</v>
      </c>
      <c r="F33" s="18" t="s">
        <v>267</v>
      </c>
      <c r="G33" s="31" t="s">
        <v>1032</v>
      </c>
      <c r="H33" s="96">
        <v>110</v>
      </c>
      <c r="I33" s="96">
        <v>110</v>
      </c>
      <c r="L33" s="97"/>
    </row>
    <row r="34" spans="2:12">
      <c r="B34" s="18" t="s">
        <v>2311</v>
      </c>
      <c r="C34" s="18" t="s">
        <v>456</v>
      </c>
      <c r="D34" s="18">
        <v>2050</v>
      </c>
      <c r="E34" s="18" t="s">
        <v>1018</v>
      </c>
      <c r="F34" s="18" t="s">
        <v>267</v>
      </c>
      <c r="G34" s="31" t="s">
        <v>1032</v>
      </c>
      <c r="H34" s="96">
        <v>110</v>
      </c>
      <c r="I34" s="96">
        <v>110</v>
      </c>
      <c r="L34" s="97"/>
    </row>
    <row r="35" spans="2:12">
      <c r="B35" s="18" t="s">
        <v>2311</v>
      </c>
      <c r="C35" s="18" t="s">
        <v>456</v>
      </c>
      <c r="D35" s="18">
        <v>2020</v>
      </c>
      <c r="E35" s="18" t="s">
        <v>285</v>
      </c>
      <c r="F35" s="18" t="s">
        <v>267</v>
      </c>
      <c r="G35" s="31" t="s">
        <v>1156</v>
      </c>
      <c r="H35" s="96">
        <v>0.21346999999999999</v>
      </c>
      <c r="J35" s="97">
        <v>1.87</v>
      </c>
      <c r="K35" s="97">
        <v>1.87</v>
      </c>
      <c r="L35" s="97"/>
    </row>
    <row r="36" spans="2:12">
      <c r="B36" s="18" t="s">
        <v>2311</v>
      </c>
      <c r="C36" s="18" t="s">
        <v>456</v>
      </c>
      <c r="D36" s="18">
        <v>2030</v>
      </c>
      <c r="E36" s="18" t="s">
        <v>285</v>
      </c>
      <c r="F36" s="18" t="s">
        <v>267</v>
      </c>
      <c r="G36" s="31" t="s">
        <v>1156</v>
      </c>
      <c r="H36" s="96">
        <v>0.21346999999999999</v>
      </c>
      <c r="J36" s="97">
        <v>0.93500000000000005</v>
      </c>
      <c r="K36" s="97">
        <v>2.0569999999999999</v>
      </c>
      <c r="L36" s="97"/>
    </row>
    <row r="37" spans="2:12">
      <c r="B37" s="18" t="s">
        <v>2311</v>
      </c>
      <c r="C37" s="18" t="s">
        <v>456</v>
      </c>
      <c r="D37" s="18">
        <v>2040</v>
      </c>
      <c r="E37" s="18" t="s">
        <v>285</v>
      </c>
      <c r="F37" s="18" t="s">
        <v>267</v>
      </c>
      <c r="G37" s="31" t="s">
        <v>1156</v>
      </c>
      <c r="H37" s="96">
        <v>0.21346999999999999</v>
      </c>
      <c r="J37" s="97">
        <v>0.46750000000000003</v>
      </c>
      <c r="K37" s="97">
        <v>2.1589999999999998</v>
      </c>
      <c r="L37" s="97"/>
    </row>
    <row r="38" spans="2:12">
      <c r="B38" s="18" t="s">
        <v>2311</v>
      </c>
      <c r="C38" s="18" t="s">
        <v>456</v>
      </c>
      <c r="D38" s="18">
        <v>2050</v>
      </c>
      <c r="E38" s="18" t="s">
        <v>285</v>
      </c>
      <c r="F38" s="18" t="s">
        <v>267</v>
      </c>
      <c r="G38" s="31" t="s">
        <v>1156</v>
      </c>
      <c r="H38" s="96">
        <v>0.21346999999999999</v>
      </c>
      <c r="J38" s="97">
        <v>0.23375000000000001</v>
      </c>
      <c r="K38" s="97">
        <v>2.2030470000000002</v>
      </c>
      <c r="L38" s="97"/>
    </row>
    <row r="39" spans="2:12">
      <c r="B39" s="18" t="s">
        <v>2311</v>
      </c>
      <c r="C39" s="18" t="s">
        <v>456</v>
      </c>
      <c r="D39" s="18">
        <v>2020</v>
      </c>
      <c r="E39" s="18" t="s">
        <v>258</v>
      </c>
      <c r="F39" s="18" t="s">
        <v>267</v>
      </c>
      <c r="G39" s="31" t="s">
        <v>1170</v>
      </c>
      <c r="H39" s="96">
        <v>0.28676200000000002</v>
      </c>
      <c r="J39" s="97">
        <v>2.8420000000000001</v>
      </c>
      <c r="K39" s="97">
        <v>2.8420000000000001</v>
      </c>
      <c r="L39" s="97"/>
    </row>
    <row r="40" spans="2:12">
      <c r="B40" s="18" t="s">
        <v>2311</v>
      </c>
      <c r="C40" s="18" t="s">
        <v>456</v>
      </c>
      <c r="D40" s="18">
        <v>2030</v>
      </c>
      <c r="E40" s="18" t="s">
        <v>258</v>
      </c>
      <c r="F40" s="18" t="s">
        <v>267</v>
      </c>
      <c r="G40" s="31" t="s">
        <v>1170</v>
      </c>
      <c r="H40" s="96">
        <v>0.28676200000000002</v>
      </c>
      <c r="J40" s="97">
        <v>0</v>
      </c>
      <c r="K40" s="97">
        <v>11.684563000000001</v>
      </c>
      <c r="L40" s="97"/>
    </row>
    <row r="41" spans="2:12">
      <c r="B41" s="18" t="s">
        <v>2311</v>
      </c>
      <c r="C41" s="18" t="s">
        <v>456</v>
      </c>
      <c r="D41" s="18">
        <v>2040</v>
      </c>
      <c r="E41" s="18" t="s">
        <v>258</v>
      </c>
      <c r="F41" s="18" t="s">
        <v>267</v>
      </c>
      <c r="G41" s="31" t="s">
        <v>1170</v>
      </c>
      <c r="H41" s="96">
        <v>0.14338100000000001</v>
      </c>
      <c r="L41" s="97"/>
    </row>
    <row r="42" spans="2:12">
      <c r="B42" s="18" t="s">
        <v>2311</v>
      </c>
      <c r="C42" s="18" t="s">
        <v>456</v>
      </c>
      <c r="D42" s="18">
        <v>2050</v>
      </c>
      <c r="E42" s="18" t="s">
        <v>258</v>
      </c>
      <c r="F42" s="18" t="s">
        <v>267</v>
      </c>
      <c r="G42" s="31" t="s">
        <v>1170</v>
      </c>
      <c r="H42" s="96">
        <v>7.1691000000000005E-2</v>
      </c>
      <c r="L42" s="97"/>
    </row>
    <row r="43" spans="2:12">
      <c r="B43" s="18" t="s">
        <v>2311</v>
      </c>
      <c r="C43" s="18" t="s">
        <v>456</v>
      </c>
      <c r="D43" s="18">
        <v>2020</v>
      </c>
      <c r="E43" s="18" t="s">
        <v>302</v>
      </c>
      <c r="F43" s="18" t="s">
        <v>267</v>
      </c>
      <c r="G43" s="31" t="s">
        <v>1172</v>
      </c>
      <c r="I43" s="96">
        <v>0.45900000000000002</v>
      </c>
      <c r="J43" s="97">
        <v>2.274</v>
      </c>
      <c r="K43" s="97">
        <v>2.274</v>
      </c>
      <c r="L43" s="97"/>
    </row>
    <row r="44" spans="2:12">
      <c r="B44" s="18" t="s">
        <v>2311</v>
      </c>
      <c r="C44" s="18" t="s">
        <v>456</v>
      </c>
      <c r="D44" s="18">
        <v>2030</v>
      </c>
      <c r="E44" s="18" t="s">
        <v>302</v>
      </c>
      <c r="F44" s="18" t="s">
        <v>267</v>
      </c>
      <c r="G44" s="31" t="s">
        <v>1172</v>
      </c>
      <c r="I44" s="96">
        <v>0.45900000000000002</v>
      </c>
      <c r="L44" s="97"/>
    </row>
    <row r="45" spans="2:12">
      <c r="B45" s="18" t="s">
        <v>2311</v>
      </c>
      <c r="C45" s="18" t="s">
        <v>456</v>
      </c>
      <c r="D45" s="18">
        <v>2020</v>
      </c>
      <c r="E45" s="18" t="s">
        <v>262</v>
      </c>
      <c r="F45" s="18" t="s">
        <v>267</v>
      </c>
      <c r="G45" s="31" t="s">
        <v>1169</v>
      </c>
      <c r="H45" s="96">
        <v>1.9</v>
      </c>
      <c r="L45" s="97"/>
    </row>
    <row r="46" spans="2:12">
      <c r="B46" s="18" t="s">
        <v>2311</v>
      </c>
      <c r="C46" s="18" t="s">
        <v>456</v>
      </c>
      <c r="D46" s="18">
        <v>2030</v>
      </c>
      <c r="E46" s="18" t="s">
        <v>262</v>
      </c>
      <c r="F46" s="18" t="s">
        <v>267</v>
      </c>
      <c r="G46" s="31" t="s">
        <v>1169</v>
      </c>
      <c r="H46" s="96">
        <v>1.9</v>
      </c>
      <c r="L46" s="97"/>
    </row>
    <row r="47" spans="2:12">
      <c r="B47" s="18" t="s">
        <v>2311</v>
      </c>
      <c r="C47" s="18" t="s">
        <v>456</v>
      </c>
      <c r="D47" s="18">
        <v>2020</v>
      </c>
      <c r="E47" s="18" t="s">
        <v>2316</v>
      </c>
      <c r="F47" s="18" t="s">
        <v>267</v>
      </c>
      <c r="G47" s="31" t="s">
        <v>1168</v>
      </c>
      <c r="J47" s="97">
        <v>1.516</v>
      </c>
      <c r="K47" s="97">
        <v>1.516</v>
      </c>
      <c r="L47" s="97"/>
    </row>
    <row r="48" spans="2:12">
      <c r="B48" s="18" t="s">
        <v>2311</v>
      </c>
      <c r="C48" s="18" t="s">
        <v>456</v>
      </c>
      <c r="D48" s="18">
        <v>2030</v>
      </c>
      <c r="E48" s="18" t="s">
        <v>2316</v>
      </c>
      <c r="F48" s="18" t="s">
        <v>267</v>
      </c>
      <c r="G48" s="31" t="s">
        <v>1168</v>
      </c>
      <c r="J48" s="97">
        <v>0.97799999999999998</v>
      </c>
      <c r="K48" s="97">
        <v>0.97799999999999998</v>
      </c>
      <c r="L48" s="97"/>
    </row>
    <row r="49" spans="2:12">
      <c r="B49" s="18" t="s">
        <v>2311</v>
      </c>
      <c r="C49" s="18" t="s">
        <v>456</v>
      </c>
      <c r="D49" s="18">
        <v>2030</v>
      </c>
      <c r="E49" s="18" t="s">
        <v>260</v>
      </c>
      <c r="F49" s="18" t="s">
        <v>267</v>
      </c>
      <c r="G49" s="31" t="s">
        <v>2317</v>
      </c>
      <c r="K49" s="97">
        <v>0.52700000000000002</v>
      </c>
      <c r="L49" s="97"/>
    </row>
    <row r="50" spans="2:12">
      <c r="B50" s="18" t="s">
        <v>2311</v>
      </c>
      <c r="C50" s="18" t="s">
        <v>456</v>
      </c>
      <c r="D50" s="18">
        <v>2020</v>
      </c>
      <c r="E50" s="18" t="s">
        <v>529</v>
      </c>
      <c r="F50" s="18" t="s">
        <v>267</v>
      </c>
      <c r="G50" s="31" t="s">
        <v>2318</v>
      </c>
      <c r="J50" s="97">
        <v>3.6030000000000002</v>
      </c>
      <c r="K50" s="97">
        <v>3.6030000000000002</v>
      </c>
      <c r="L50" s="97"/>
    </row>
    <row r="51" spans="2:12">
      <c r="B51" s="18" t="s">
        <v>2311</v>
      </c>
      <c r="C51" s="18" t="s">
        <v>456</v>
      </c>
      <c r="D51" s="18">
        <v>2030</v>
      </c>
      <c r="E51" s="18" t="s">
        <v>529</v>
      </c>
      <c r="F51" s="18" t="s">
        <v>267</v>
      </c>
      <c r="G51" s="31" t="s">
        <v>2318</v>
      </c>
      <c r="J51" s="97">
        <v>1.802</v>
      </c>
      <c r="K51" s="97">
        <v>8.1</v>
      </c>
      <c r="L51" s="97"/>
    </row>
    <row r="52" spans="2:12">
      <c r="B52" s="18" t="s">
        <v>2311</v>
      </c>
      <c r="C52" s="18" t="s">
        <v>456</v>
      </c>
      <c r="D52" s="18">
        <v>2040</v>
      </c>
      <c r="E52" s="18" t="s">
        <v>529</v>
      </c>
      <c r="F52" s="18" t="s">
        <v>267</v>
      </c>
      <c r="G52" s="31" t="s">
        <v>2318</v>
      </c>
      <c r="J52" s="97">
        <v>0.90100000000000002</v>
      </c>
      <c r="K52" s="97">
        <v>12.5</v>
      </c>
      <c r="L52" s="97"/>
    </row>
    <row r="53" spans="2:12">
      <c r="B53" s="18" t="s">
        <v>2311</v>
      </c>
      <c r="C53" s="18" t="s">
        <v>456</v>
      </c>
      <c r="D53" s="18">
        <v>2050</v>
      </c>
      <c r="E53" s="18" t="s">
        <v>529</v>
      </c>
      <c r="F53" s="18" t="s">
        <v>267</v>
      </c>
      <c r="G53" s="31" t="s">
        <v>2318</v>
      </c>
      <c r="J53" s="97">
        <v>0.45100000000000001</v>
      </c>
      <c r="K53" s="97">
        <v>17</v>
      </c>
      <c r="L53" s="97"/>
    </row>
    <row r="54" spans="2:12">
      <c r="B54" s="18" t="s">
        <v>2311</v>
      </c>
      <c r="C54" s="18" t="s">
        <v>456</v>
      </c>
      <c r="D54" s="18">
        <v>2020</v>
      </c>
      <c r="E54" s="18" t="s">
        <v>300</v>
      </c>
      <c r="F54" s="18" t="s">
        <v>262</v>
      </c>
      <c r="G54" s="31" t="s">
        <v>2319</v>
      </c>
      <c r="J54" s="97">
        <v>0.36499999999999999</v>
      </c>
      <c r="K54" s="97">
        <v>0.36499999999999999</v>
      </c>
      <c r="L54" s="97"/>
    </row>
    <row r="55" spans="2:12">
      <c r="B55" s="18" t="s">
        <v>2311</v>
      </c>
      <c r="C55" s="18" t="s">
        <v>456</v>
      </c>
      <c r="D55" s="18">
        <v>2030</v>
      </c>
      <c r="E55" s="18" t="s">
        <v>300</v>
      </c>
      <c r="F55" s="18" t="s">
        <v>262</v>
      </c>
      <c r="G55" s="31" t="s">
        <v>2319</v>
      </c>
      <c r="H55" s="96">
        <v>4.4999999999999998E-2</v>
      </c>
      <c r="I55" s="97">
        <v>0.09</v>
      </c>
      <c r="L55" s="97"/>
    </row>
    <row r="56" spans="2:12">
      <c r="B56" s="18" t="s">
        <v>2311</v>
      </c>
      <c r="C56" s="18" t="s">
        <v>456</v>
      </c>
      <c r="D56" s="18">
        <v>2030</v>
      </c>
      <c r="E56" s="18" t="s">
        <v>266</v>
      </c>
      <c r="F56" s="18" t="s">
        <v>262</v>
      </c>
      <c r="G56" s="31" t="s">
        <v>2320</v>
      </c>
      <c r="I56" s="97">
        <v>5.0000000000000001E-3</v>
      </c>
      <c r="L56" s="97"/>
    </row>
    <row r="57" spans="2:12">
      <c r="B57" s="18" t="s">
        <v>2311</v>
      </c>
      <c r="C57" s="18" t="s">
        <v>456</v>
      </c>
      <c r="D57" s="18">
        <v>2030</v>
      </c>
      <c r="E57" s="18" t="s">
        <v>260</v>
      </c>
      <c r="F57" s="18" t="s">
        <v>262</v>
      </c>
      <c r="G57" s="31" t="s">
        <v>2292</v>
      </c>
      <c r="I57" s="97">
        <v>5.0000000000000001E-3</v>
      </c>
      <c r="L57" s="97"/>
    </row>
    <row r="58" spans="2:12">
      <c r="B58" s="18" t="s">
        <v>2311</v>
      </c>
      <c r="C58" s="18" t="s">
        <v>456</v>
      </c>
      <c r="D58" s="18">
        <v>2020</v>
      </c>
      <c r="E58" s="18" t="s">
        <v>1018</v>
      </c>
      <c r="F58" s="18" t="s">
        <v>262</v>
      </c>
      <c r="G58" s="31" t="s">
        <v>1045</v>
      </c>
      <c r="I58" s="97">
        <v>92</v>
      </c>
      <c r="L58" s="97"/>
    </row>
    <row r="59" spans="2:12">
      <c r="B59" s="18" t="s">
        <v>2311</v>
      </c>
      <c r="C59" s="18" t="s">
        <v>456</v>
      </c>
      <c r="D59" s="18">
        <v>2030</v>
      </c>
      <c r="E59" s="18" t="s">
        <v>1018</v>
      </c>
      <c r="F59" s="18" t="s">
        <v>262</v>
      </c>
      <c r="G59" s="31" t="s">
        <v>1045</v>
      </c>
      <c r="I59" s="97">
        <v>92</v>
      </c>
      <c r="L59" s="97"/>
    </row>
    <row r="60" spans="2:12">
      <c r="B60" s="18" t="s">
        <v>2311</v>
      </c>
      <c r="C60" s="18" t="s">
        <v>456</v>
      </c>
      <c r="D60" s="18">
        <v>2040</v>
      </c>
      <c r="E60" s="18" t="s">
        <v>1018</v>
      </c>
      <c r="F60" s="18" t="s">
        <v>262</v>
      </c>
      <c r="G60" s="31" t="s">
        <v>1045</v>
      </c>
      <c r="I60" s="97">
        <v>92</v>
      </c>
      <c r="L60" s="97"/>
    </row>
    <row r="61" spans="2:12">
      <c r="B61" s="18" t="s">
        <v>2311</v>
      </c>
      <c r="C61" s="18" t="s">
        <v>456</v>
      </c>
      <c r="D61" s="18">
        <v>2050</v>
      </c>
      <c r="E61" s="18" t="s">
        <v>1018</v>
      </c>
      <c r="F61" s="18" t="s">
        <v>262</v>
      </c>
      <c r="G61" s="31" t="s">
        <v>1045</v>
      </c>
      <c r="I61" s="97">
        <v>92</v>
      </c>
      <c r="L61" s="97"/>
    </row>
    <row r="62" spans="2:12">
      <c r="B62" s="18" t="s">
        <v>2311</v>
      </c>
      <c r="C62" s="18" t="s">
        <v>456</v>
      </c>
      <c r="D62" s="18">
        <v>2020</v>
      </c>
      <c r="E62" s="18" t="s">
        <v>1018</v>
      </c>
      <c r="F62" s="18" t="s">
        <v>262</v>
      </c>
      <c r="G62" s="31" t="s">
        <v>1043</v>
      </c>
      <c r="I62" s="97">
        <v>92</v>
      </c>
      <c r="L62" s="97"/>
    </row>
    <row r="63" spans="2:12">
      <c r="B63" s="18" t="s">
        <v>2311</v>
      </c>
      <c r="C63" s="18" t="s">
        <v>456</v>
      </c>
      <c r="D63" s="18">
        <v>2030</v>
      </c>
      <c r="E63" s="18" t="s">
        <v>1018</v>
      </c>
      <c r="F63" s="18" t="s">
        <v>262</v>
      </c>
      <c r="G63" s="31" t="s">
        <v>2196</v>
      </c>
      <c r="I63" s="97">
        <v>6</v>
      </c>
    </row>
    <row r="64" spans="2:12">
      <c r="B64" s="18" t="s">
        <v>2311</v>
      </c>
      <c r="C64" s="18" t="s">
        <v>456</v>
      </c>
      <c r="D64" s="18">
        <v>2040</v>
      </c>
      <c r="E64" s="18" t="s">
        <v>1018</v>
      </c>
      <c r="F64" s="18" t="s">
        <v>262</v>
      </c>
      <c r="G64" s="31" t="s">
        <v>2196</v>
      </c>
      <c r="I64" s="97">
        <v>6</v>
      </c>
    </row>
    <row r="65" spans="2:11">
      <c r="B65" s="18" t="s">
        <v>2311</v>
      </c>
      <c r="C65" s="18" t="s">
        <v>456</v>
      </c>
      <c r="D65" s="18">
        <v>2050</v>
      </c>
      <c r="E65" s="18" t="s">
        <v>1018</v>
      </c>
      <c r="F65" s="18" t="s">
        <v>262</v>
      </c>
      <c r="G65" s="31" t="s">
        <v>2196</v>
      </c>
      <c r="I65" s="97">
        <v>6</v>
      </c>
    </row>
    <row r="66" spans="2:11">
      <c r="B66" s="18" t="s">
        <v>2311</v>
      </c>
      <c r="C66" s="18" t="s">
        <v>456</v>
      </c>
      <c r="D66" s="18">
        <v>2030</v>
      </c>
      <c r="E66" s="18" t="s">
        <v>2321</v>
      </c>
      <c r="F66" s="18" t="s">
        <v>276</v>
      </c>
      <c r="G66" s="31" t="s">
        <v>869</v>
      </c>
      <c r="J66" s="96">
        <v>0.18</v>
      </c>
    </row>
    <row r="67" spans="2:11">
      <c r="B67" s="18" t="s">
        <v>2311</v>
      </c>
      <c r="C67" s="18" t="s">
        <v>456</v>
      </c>
      <c r="D67" s="18">
        <v>2040</v>
      </c>
      <c r="E67" s="18" t="s">
        <v>2321</v>
      </c>
      <c r="F67" s="18" t="s">
        <v>276</v>
      </c>
      <c r="G67" s="31" t="s">
        <v>869</v>
      </c>
      <c r="J67" s="96">
        <v>1.8</v>
      </c>
    </row>
    <row r="68" spans="2:11">
      <c r="B68" s="18" t="s">
        <v>2311</v>
      </c>
      <c r="C68" s="18" t="s">
        <v>456</v>
      </c>
      <c r="D68" s="18">
        <v>2050</v>
      </c>
      <c r="E68" s="18" t="s">
        <v>2321</v>
      </c>
      <c r="F68" s="18" t="s">
        <v>276</v>
      </c>
      <c r="G68" s="31" t="s">
        <v>869</v>
      </c>
      <c r="J68" s="96">
        <v>3.6</v>
      </c>
    </row>
    <row r="69" spans="2:11">
      <c r="B69" s="18" t="s">
        <v>2311</v>
      </c>
      <c r="C69" s="18" t="s">
        <v>456</v>
      </c>
      <c r="D69" s="18">
        <v>2030</v>
      </c>
      <c r="E69" s="18" t="s">
        <v>2322</v>
      </c>
      <c r="F69" s="18" t="s">
        <v>258</v>
      </c>
      <c r="G69" s="31" t="s">
        <v>2323</v>
      </c>
      <c r="I69" s="97">
        <v>0.25</v>
      </c>
      <c r="K69" s="97">
        <v>0.5</v>
      </c>
    </row>
    <row r="70" spans="2:11">
      <c r="B70" s="18" t="s">
        <v>2311</v>
      </c>
      <c r="C70" s="18" t="s">
        <v>456</v>
      </c>
      <c r="D70" s="18">
        <v>2040</v>
      </c>
      <c r="E70" s="18" t="s">
        <v>2322</v>
      </c>
      <c r="F70" s="18" t="s">
        <v>258</v>
      </c>
      <c r="G70" s="31" t="s">
        <v>2324</v>
      </c>
      <c r="I70" s="97">
        <v>0.75</v>
      </c>
      <c r="K70" s="97">
        <v>1.5</v>
      </c>
    </row>
    <row r="71" spans="2:11">
      <c r="B71" s="18" t="s">
        <v>2311</v>
      </c>
      <c r="C71" s="18" t="s">
        <v>456</v>
      </c>
      <c r="D71" s="18">
        <v>2050</v>
      </c>
      <c r="E71" s="18" t="s">
        <v>2322</v>
      </c>
      <c r="F71" s="18" t="s">
        <v>258</v>
      </c>
      <c r="G71" s="31" t="s">
        <v>2325</v>
      </c>
      <c r="I71" s="97">
        <v>1.5</v>
      </c>
      <c r="K71" s="97">
        <v>3</v>
      </c>
    </row>
    <row r="72" spans="2:11">
      <c r="B72" s="18" t="s">
        <v>2311</v>
      </c>
      <c r="C72" s="18" t="s">
        <v>456</v>
      </c>
      <c r="D72" s="18">
        <v>2020</v>
      </c>
      <c r="E72" s="18" t="s">
        <v>301</v>
      </c>
      <c r="F72" s="18" t="s">
        <v>258</v>
      </c>
      <c r="G72" s="31" t="s">
        <v>2059</v>
      </c>
      <c r="K72" s="97">
        <v>0.12</v>
      </c>
    </row>
    <row r="73" spans="2:11">
      <c r="B73" s="18" t="s">
        <v>2311</v>
      </c>
      <c r="C73" s="18" t="s">
        <v>456</v>
      </c>
      <c r="D73" s="18">
        <v>2030</v>
      </c>
      <c r="E73" s="18" t="s">
        <v>301</v>
      </c>
      <c r="F73" s="18" t="s">
        <v>258</v>
      </c>
      <c r="G73" s="31" t="s">
        <v>2063</v>
      </c>
      <c r="I73" s="97">
        <v>0.32</v>
      </c>
    </row>
    <row r="74" spans="2:11">
      <c r="B74" s="18" t="s">
        <v>2311</v>
      </c>
      <c r="C74" s="18" t="s">
        <v>456</v>
      </c>
      <c r="D74" s="18">
        <v>2040</v>
      </c>
      <c r="E74" s="18" t="s">
        <v>301</v>
      </c>
      <c r="F74" s="18" t="s">
        <v>258</v>
      </c>
      <c r="G74" s="31" t="s">
        <v>2067</v>
      </c>
      <c r="I74" s="97">
        <v>1</v>
      </c>
    </row>
    <row r="75" spans="2:11">
      <c r="B75" s="18" t="s">
        <v>2311</v>
      </c>
      <c r="C75" s="18" t="s">
        <v>456</v>
      </c>
      <c r="D75" s="18">
        <v>2050</v>
      </c>
      <c r="E75" s="18" t="s">
        <v>301</v>
      </c>
      <c r="F75" s="18" t="s">
        <v>258</v>
      </c>
      <c r="G75" s="31" t="s">
        <v>2070</v>
      </c>
      <c r="I75" s="97">
        <v>3</v>
      </c>
    </row>
    <row r="76" spans="2:11">
      <c r="B76" s="18" t="s">
        <v>2311</v>
      </c>
      <c r="C76" s="18" t="s">
        <v>456</v>
      </c>
      <c r="D76" s="18">
        <v>2020</v>
      </c>
      <c r="E76" s="18" t="s">
        <v>2326</v>
      </c>
      <c r="F76" s="18" t="s">
        <v>258</v>
      </c>
      <c r="G76" s="31" t="s">
        <v>864</v>
      </c>
      <c r="H76" s="96">
        <v>8.1999999999999993</v>
      </c>
      <c r="I76" s="96">
        <v>8.1999999999999993</v>
      </c>
    </row>
    <row r="77" spans="2:11">
      <c r="B77" s="18" t="s">
        <v>2311</v>
      </c>
      <c r="C77" s="18" t="s">
        <v>456</v>
      </c>
      <c r="D77" s="18">
        <v>2030</v>
      </c>
      <c r="E77" s="18" t="s">
        <v>2326</v>
      </c>
      <c r="F77" s="18" t="s">
        <v>258</v>
      </c>
      <c r="G77" s="31" t="s">
        <v>864</v>
      </c>
      <c r="H77" s="96">
        <v>8.1999999999999993</v>
      </c>
      <c r="I77" s="96">
        <v>8.1999999999999993</v>
      </c>
    </row>
    <row r="78" spans="2:11">
      <c r="B78" s="18" t="s">
        <v>2311</v>
      </c>
      <c r="C78" s="18" t="s">
        <v>456</v>
      </c>
      <c r="D78" s="18">
        <v>2040</v>
      </c>
      <c r="E78" s="18" t="s">
        <v>2326</v>
      </c>
      <c r="F78" s="18" t="s">
        <v>258</v>
      </c>
      <c r="G78" s="31" t="s">
        <v>864</v>
      </c>
      <c r="H78" s="96">
        <v>8.4</v>
      </c>
      <c r="I78" s="96">
        <v>8.4</v>
      </c>
    </row>
    <row r="79" spans="2:11">
      <c r="B79" s="18" t="s">
        <v>2311</v>
      </c>
      <c r="C79" s="18" t="s">
        <v>456</v>
      </c>
      <c r="D79" s="18">
        <v>2050</v>
      </c>
      <c r="E79" s="18" t="s">
        <v>2326</v>
      </c>
      <c r="F79" s="18" t="s">
        <v>258</v>
      </c>
      <c r="G79" s="31" t="s">
        <v>864</v>
      </c>
      <c r="H79" s="96">
        <v>8.4</v>
      </c>
      <c r="I79" s="96">
        <v>8.4</v>
      </c>
    </row>
    <row r="80" spans="2:11">
      <c r="B80" s="18" t="s">
        <v>2311</v>
      </c>
      <c r="C80" s="18" t="s">
        <v>456</v>
      </c>
      <c r="D80" s="18">
        <v>2020</v>
      </c>
      <c r="E80" s="18" t="s">
        <v>1018</v>
      </c>
      <c r="F80" s="18" t="s">
        <v>258</v>
      </c>
      <c r="G80" s="31" t="s">
        <v>1025</v>
      </c>
      <c r="H80" s="96">
        <v>8600</v>
      </c>
      <c r="I80" s="97">
        <v>8600</v>
      </c>
    </row>
    <row r="81" spans="2:10">
      <c r="B81" s="18" t="s">
        <v>2311</v>
      </c>
      <c r="C81" s="18" t="s">
        <v>456</v>
      </c>
      <c r="D81" s="18">
        <v>2030</v>
      </c>
      <c r="E81" s="18" t="s">
        <v>1018</v>
      </c>
      <c r="F81" s="18" t="s">
        <v>258</v>
      </c>
      <c r="G81" s="31" t="s">
        <v>1025</v>
      </c>
      <c r="H81" s="96">
        <v>8600</v>
      </c>
      <c r="I81" s="97">
        <v>8600</v>
      </c>
    </row>
    <row r="82" spans="2:10">
      <c r="B82" s="18" t="s">
        <v>2311</v>
      </c>
      <c r="C82" s="18" t="s">
        <v>456</v>
      </c>
      <c r="D82" s="18">
        <v>2040</v>
      </c>
      <c r="E82" s="18" t="s">
        <v>1018</v>
      </c>
      <c r="F82" s="18" t="s">
        <v>258</v>
      </c>
      <c r="G82" s="31" t="s">
        <v>1025</v>
      </c>
      <c r="H82" s="96">
        <v>8600</v>
      </c>
      <c r="I82" s="97">
        <v>9515</v>
      </c>
    </row>
    <row r="83" spans="2:10">
      <c r="B83" s="18" t="s">
        <v>2311</v>
      </c>
      <c r="C83" s="18" t="s">
        <v>456</v>
      </c>
      <c r="D83" s="18">
        <v>2050</v>
      </c>
      <c r="E83" s="18" t="s">
        <v>1018</v>
      </c>
      <c r="F83" s="18" t="s">
        <v>258</v>
      </c>
      <c r="G83" s="31" t="s">
        <v>1025</v>
      </c>
      <c r="H83" s="96">
        <v>8600</v>
      </c>
      <c r="I83" s="97">
        <v>9515</v>
      </c>
    </row>
    <row r="84" spans="2:10">
      <c r="B84" s="18" t="s">
        <v>2311</v>
      </c>
      <c r="C84" s="18" t="s">
        <v>456</v>
      </c>
      <c r="D84" s="18">
        <v>2020</v>
      </c>
      <c r="E84" s="18" t="s">
        <v>404</v>
      </c>
      <c r="F84" s="18" t="s">
        <v>258</v>
      </c>
      <c r="G84" s="31" t="s">
        <v>859</v>
      </c>
      <c r="H84" s="96">
        <v>3.2</v>
      </c>
      <c r="I84" s="97">
        <v>3.2</v>
      </c>
      <c r="J84" s="97">
        <v>2.1096840000000001</v>
      </c>
    </row>
    <row r="85" spans="2:10">
      <c r="B85" s="18" t="s">
        <v>2311</v>
      </c>
      <c r="C85" s="18" t="s">
        <v>456</v>
      </c>
      <c r="D85" s="18">
        <v>2030</v>
      </c>
      <c r="E85" s="18" t="s">
        <v>404</v>
      </c>
      <c r="F85" s="18" t="s">
        <v>258</v>
      </c>
      <c r="G85" s="31" t="s">
        <v>859</v>
      </c>
      <c r="H85" s="96">
        <v>4.2</v>
      </c>
      <c r="I85" s="97">
        <v>4.2</v>
      </c>
    </row>
    <row r="86" spans="2:10">
      <c r="B86" s="18" t="s">
        <v>2311</v>
      </c>
      <c r="C86" s="18" t="s">
        <v>456</v>
      </c>
      <c r="D86" s="18">
        <v>2040</v>
      </c>
      <c r="E86" s="18" t="s">
        <v>404</v>
      </c>
      <c r="F86" s="18" t="s">
        <v>258</v>
      </c>
      <c r="G86" s="31" t="s">
        <v>859</v>
      </c>
      <c r="H86" s="96">
        <v>4.2</v>
      </c>
      <c r="I86" s="97">
        <v>5.5</v>
      </c>
    </row>
    <row r="87" spans="2:10">
      <c r="B87" s="18" t="s">
        <v>2311</v>
      </c>
      <c r="C87" s="18" t="s">
        <v>456</v>
      </c>
      <c r="D87" s="18">
        <v>2050</v>
      </c>
      <c r="E87" s="18" t="s">
        <v>404</v>
      </c>
      <c r="F87" s="18" t="s">
        <v>258</v>
      </c>
      <c r="G87" s="31" t="s">
        <v>859</v>
      </c>
      <c r="H87" s="96">
        <v>4.2</v>
      </c>
      <c r="I87" s="97">
        <v>6</v>
      </c>
    </row>
    <row r="88" spans="2:10">
      <c r="B88" s="18" t="s">
        <v>2311</v>
      </c>
      <c r="C88" s="18" t="s">
        <v>456</v>
      </c>
      <c r="D88" s="18">
        <v>2020</v>
      </c>
      <c r="E88" s="18" t="s">
        <v>404</v>
      </c>
      <c r="F88" s="18" t="s">
        <v>258</v>
      </c>
      <c r="G88" s="31" t="s">
        <v>855</v>
      </c>
      <c r="H88" s="96">
        <v>2.7</v>
      </c>
      <c r="J88" s="97">
        <v>2.919977855</v>
      </c>
    </row>
    <row r="89" spans="2:10">
      <c r="B89" s="18" t="s">
        <v>2311</v>
      </c>
      <c r="C89" s="18" t="s">
        <v>456</v>
      </c>
      <c r="D89" s="18">
        <v>2030</v>
      </c>
      <c r="E89" s="18" t="s">
        <v>404</v>
      </c>
      <c r="F89" s="18" t="s">
        <v>258</v>
      </c>
      <c r="G89" s="31" t="s">
        <v>855</v>
      </c>
      <c r="H89" s="96">
        <v>3.7</v>
      </c>
      <c r="I89" s="97">
        <v>3.7</v>
      </c>
    </row>
    <row r="90" spans="2:10">
      <c r="B90" s="18" t="s">
        <v>2311</v>
      </c>
      <c r="C90" s="18" t="s">
        <v>456</v>
      </c>
      <c r="D90" s="18">
        <v>2040</v>
      </c>
      <c r="E90" s="18" t="s">
        <v>404</v>
      </c>
      <c r="F90" s="18" t="s">
        <v>258</v>
      </c>
      <c r="G90" s="31" t="s">
        <v>855</v>
      </c>
      <c r="H90" s="96">
        <v>3.7</v>
      </c>
      <c r="I90" s="97">
        <v>5</v>
      </c>
    </row>
    <row r="91" spans="2:10">
      <c r="B91" s="18" t="s">
        <v>2311</v>
      </c>
      <c r="C91" s="18" t="s">
        <v>456</v>
      </c>
      <c r="D91" s="18">
        <v>2050</v>
      </c>
      <c r="E91" s="18" t="s">
        <v>404</v>
      </c>
      <c r="F91" s="18" t="s">
        <v>258</v>
      </c>
      <c r="G91" s="31" t="s">
        <v>855</v>
      </c>
      <c r="H91" s="96">
        <v>3.7</v>
      </c>
      <c r="I91" s="97">
        <v>5.5</v>
      </c>
    </row>
    <row r="92" spans="2:10">
      <c r="B92" s="18" t="s">
        <v>2311</v>
      </c>
      <c r="C92" s="18" t="s">
        <v>456</v>
      </c>
      <c r="D92" s="18">
        <v>2020</v>
      </c>
      <c r="E92" s="18" t="s">
        <v>1018</v>
      </c>
      <c r="F92" s="18" t="s">
        <v>258</v>
      </c>
      <c r="G92" s="31" t="s">
        <v>1029</v>
      </c>
      <c r="H92" s="96">
        <v>200</v>
      </c>
      <c r="I92" s="97">
        <v>200</v>
      </c>
    </row>
    <row r="93" spans="2:10">
      <c r="B93" s="18" t="s">
        <v>2311</v>
      </c>
      <c r="C93" s="18" t="s">
        <v>456</v>
      </c>
      <c r="D93" s="18">
        <v>2030</v>
      </c>
      <c r="E93" s="18" t="s">
        <v>1018</v>
      </c>
      <c r="F93" s="18" t="s">
        <v>258</v>
      </c>
      <c r="G93" s="31" t="s">
        <v>1029</v>
      </c>
      <c r="H93" s="96">
        <v>200</v>
      </c>
      <c r="I93" s="97">
        <v>200</v>
      </c>
    </row>
    <row r="94" spans="2:10">
      <c r="B94" s="18" t="s">
        <v>2311</v>
      </c>
      <c r="C94" s="18" t="s">
        <v>456</v>
      </c>
      <c r="D94" s="18">
        <v>2040</v>
      </c>
      <c r="E94" s="18" t="s">
        <v>1018</v>
      </c>
      <c r="F94" s="18" t="s">
        <v>258</v>
      </c>
      <c r="G94" s="31" t="s">
        <v>1029</v>
      </c>
      <c r="H94" s="96">
        <v>200</v>
      </c>
      <c r="I94" s="97">
        <v>230</v>
      </c>
    </row>
    <row r="95" spans="2:10">
      <c r="B95" s="18" t="s">
        <v>2311</v>
      </c>
      <c r="C95" s="18" t="s">
        <v>456</v>
      </c>
      <c r="D95" s="18">
        <v>2050</v>
      </c>
      <c r="E95" s="18" t="s">
        <v>1018</v>
      </c>
      <c r="F95" s="18" t="s">
        <v>258</v>
      </c>
      <c r="G95" s="31" t="s">
        <v>1029</v>
      </c>
      <c r="H95" s="96">
        <v>200</v>
      </c>
      <c r="I95" s="97">
        <v>250</v>
      </c>
    </row>
    <row r="96" spans="2:10">
      <c r="G96" s="31"/>
    </row>
    <row r="97" spans="7:7">
      <c r="G97" s="31"/>
    </row>
    <row r="98" spans="7:7">
      <c r="G98" s="31"/>
    </row>
    <row r="99" spans="7:7">
      <c r="G99" s="31"/>
    </row>
    <row r="100" spans="7:7">
      <c r="G100" s="31"/>
    </row>
    <row r="101" spans="7:7">
      <c r="G101" s="31"/>
    </row>
    <row r="102" spans="7:7">
      <c r="G102" s="31"/>
    </row>
    <row r="103" spans="7:7">
      <c r="G103" s="31"/>
    </row>
    <row r="104" spans="7:7">
      <c r="G104" s="31"/>
    </row>
    <row r="105" spans="7:7">
      <c r="G105" s="31"/>
    </row>
    <row r="106" spans="7:7">
      <c r="G106" s="31"/>
    </row>
    <row r="107" spans="7:7">
      <c r="G107" s="31"/>
    </row>
    <row r="108" spans="7:7">
      <c r="G108" s="31"/>
    </row>
    <row r="109" spans="7:7">
      <c r="G109" s="31"/>
    </row>
    <row r="110" spans="7:7">
      <c r="G110" s="31"/>
    </row>
    <row r="111" spans="7:7">
      <c r="G111" s="31"/>
    </row>
    <row r="112" spans="7:7">
      <c r="G112" s="31"/>
    </row>
    <row r="113" spans="7:7">
      <c r="G113" s="31"/>
    </row>
    <row r="114" spans="7:7">
      <c r="G114" s="31"/>
    </row>
    <row r="115" spans="7:7">
      <c r="G115" s="31"/>
    </row>
    <row r="116" spans="7:7">
      <c r="G116" s="31"/>
    </row>
    <row r="117" spans="7:7">
      <c r="G117" s="31"/>
    </row>
    <row r="118" spans="7:7">
      <c r="G118" s="31"/>
    </row>
    <row r="119" spans="7:7">
      <c r="G119" s="31"/>
    </row>
    <row r="120" spans="7:7">
      <c r="G120" s="31"/>
    </row>
    <row r="121" spans="7:7">
      <c r="G121" s="31"/>
    </row>
    <row r="122" spans="7:7">
      <c r="G122" s="31"/>
    </row>
    <row r="123" spans="7:7">
      <c r="G123" s="31"/>
    </row>
    <row r="124" spans="7:7">
      <c r="G124" s="31"/>
    </row>
    <row r="125" spans="7:7">
      <c r="G125" s="31"/>
    </row>
    <row r="126" spans="7:7">
      <c r="G126" s="31"/>
    </row>
    <row r="127" spans="7:7">
      <c r="G127" s="31"/>
    </row>
    <row r="128" spans="7:7">
      <c r="G128" s="31"/>
    </row>
    <row r="129" spans="7:7">
      <c r="G129" s="31"/>
    </row>
    <row r="130" spans="7:7">
      <c r="G130" s="31"/>
    </row>
    <row r="131" spans="7:7">
      <c r="G131" s="31"/>
    </row>
    <row r="132" spans="7:7">
      <c r="G132" s="31"/>
    </row>
    <row r="133" spans="7:7">
      <c r="G133" s="31"/>
    </row>
    <row r="134" spans="7:7">
      <c r="G134" s="31"/>
    </row>
    <row r="135" spans="7:7">
      <c r="G135" s="31"/>
    </row>
    <row r="136" spans="7:7">
      <c r="G136" s="31"/>
    </row>
    <row r="137" spans="7:7">
      <c r="G137" s="31"/>
    </row>
    <row r="138" spans="7:7">
      <c r="G138" s="31"/>
    </row>
    <row r="139" spans="7:7">
      <c r="G139" s="31"/>
    </row>
    <row r="140" spans="7:7">
      <c r="G140" s="31"/>
    </row>
    <row r="141" spans="7:7">
      <c r="G141" s="31"/>
    </row>
    <row r="142" spans="7:7">
      <c r="G142" s="31"/>
    </row>
    <row r="143" spans="7:7">
      <c r="G143" s="31"/>
    </row>
    <row r="144" spans="7:7">
      <c r="G144" s="31"/>
    </row>
    <row r="145" spans="7:7">
      <c r="G145" s="31"/>
    </row>
    <row r="146" spans="7:7">
      <c r="G146" s="31"/>
    </row>
    <row r="147" spans="7:7">
      <c r="G147" s="31"/>
    </row>
    <row r="148" spans="7:7">
      <c r="G148" s="31"/>
    </row>
    <row r="149" spans="7:7">
      <c r="G149" s="31"/>
    </row>
    <row r="150" spans="7:7">
      <c r="G150" s="31"/>
    </row>
    <row r="151" spans="7:7">
      <c r="G151" s="31"/>
    </row>
    <row r="152" spans="7:7">
      <c r="G152" s="31"/>
    </row>
    <row r="153" spans="7:7">
      <c r="G153" s="31"/>
    </row>
    <row r="154" spans="7:7">
      <c r="G154" s="31"/>
    </row>
    <row r="155" spans="7:7">
      <c r="G155" s="31"/>
    </row>
    <row r="156" spans="7:7">
      <c r="G156" s="31"/>
    </row>
    <row r="157" spans="7:7">
      <c r="G157" s="31"/>
    </row>
    <row r="158" spans="7:7">
      <c r="G158" s="31"/>
    </row>
    <row r="159" spans="7:7">
      <c r="G159" s="31"/>
    </row>
    <row r="160" spans="7:7">
      <c r="G160" s="31"/>
    </row>
    <row r="161" spans="7:7">
      <c r="G161" s="31"/>
    </row>
    <row r="162" spans="7:7">
      <c r="G162" s="31"/>
    </row>
    <row r="163" spans="7:7">
      <c r="G163" s="31"/>
    </row>
    <row r="164" spans="7:7">
      <c r="G164" s="31"/>
    </row>
    <row r="165" spans="7:7">
      <c r="G165" s="31"/>
    </row>
    <row r="166" spans="7:7">
      <c r="G166" s="31"/>
    </row>
    <row r="167" spans="7:7">
      <c r="G167" s="31"/>
    </row>
    <row r="168" spans="7:7">
      <c r="G168" s="31"/>
    </row>
    <row r="169" spans="7:7">
      <c r="G169" s="31"/>
    </row>
    <row r="170" spans="7:7">
      <c r="G170" s="31"/>
    </row>
    <row r="171" spans="7:7">
      <c r="G171" s="31"/>
    </row>
    <row r="172" spans="7:7">
      <c r="G172" s="31"/>
    </row>
    <row r="173" spans="7:7">
      <c r="G173" s="31"/>
    </row>
    <row r="174" spans="7:7">
      <c r="G174" s="31"/>
    </row>
    <row r="175" spans="7:7">
      <c r="G175" s="31"/>
    </row>
    <row r="176" spans="7:7">
      <c r="G176" s="31"/>
    </row>
    <row r="177" spans="7:7">
      <c r="G177" s="31"/>
    </row>
    <row r="178" spans="7:7">
      <c r="G178" s="31"/>
    </row>
    <row r="179" spans="7:7">
      <c r="G179" s="31"/>
    </row>
    <row r="180" spans="7:7">
      <c r="G180" s="31"/>
    </row>
    <row r="181" spans="7:7">
      <c r="G181" s="31"/>
    </row>
    <row r="182" spans="7:7">
      <c r="G182" s="31"/>
    </row>
    <row r="183" spans="7:7">
      <c r="G183" s="31"/>
    </row>
    <row r="184" spans="7:7">
      <c r="G184" s="31"/>
    </row>
    <row r="185" spans="7:7">
      <c r="G185" s="31"/>
    </row>
    <row r="186" spans="7:7">
      <c r="G186" s="31"/>
    </row>
    <row r="187" spans="7:7">
      <c r="G187" s="31"/>
    </row>
    <row r="188" spans="7:7">
      <c r="G188" s="31"/>
    </row>
    <row r="189" spans="7:7">
      <c r="G189" s="31"/>
    </row>
    <row r="190" spans="7:7">
      <c r="G190" s="31"/>
    </row>
    <row r="191" spans="7:7">
      <c r="G191" s="31"/>
    </row>
    <row r="192" spans="7:7">
      <c r="G192" s="31"/>
    </row>
    <row r="193" spans="7:7">
      <c r="G193" s="31"/>
    </row>
    <row r="194" spans="7:7">
      <c r="G194" s="31"/>
    </row>
    <row r="195" spans="7:7">
      <c r="G195" s="31"/>
    </row>
    <row r="196" spans="7:7">
      <c r="G196" s="31"/>
    </row>
    <row r="197" spans="7:7">
      <c r="G197" s="31"/>
    </row>
    <row r="198" spans="7:7">
      <c r="G198" s="31"/>
    </row>
    <row r="199" spans="7:7">
      <c r="G199" s="31"/>
    </row>
    <row r="200" spans="7:7">
      <c r="G200" s="31"/>
    </row>
    <row r="201" spans="7:7">
      <c r="G201" s="31"/>
    </row>
    <row r="202" spans="7:7">
      <c r="G202" s="31"/>
    </row>
    <row r="203" spans="7:7">
      <c r="G203" s="31"/>
    </row>
    <row r="204" spans="7:7">
      <c r="G204" s="31"/>
    </row>
    <row r="205" spans="7:7">
      <c r="G205" s="31"/>
    </row>
    <row r="206" spans="7:7">
      <c r="G206" s="31"/>
    </row>
    <row r="207" spans="7:7">
      <c r="G207" s="31"/>
    </row>
    <row r="208" spans="7:7">
      <c r="G208" s="31"/>
    </row>
    <row r="209" spans="7:7">
      <c r="G209" s="31"/>
    </row>
    <row r="210" spans="7:7">
      <c r="G210" s="31"/>
    </row>
    <row r="211" spans="7:7">
      <c r="G211" s="31"/>
    </row>
    <row r="212" spans="7:7">
      <c r="G212" s="31"/>
    </row>
  </sheetData>
  <autoFilter ref="A1:L212" xr:uid="{E65C374D-7363-4D78-BC10-2F3D8669693B}"/>
  <phoneticPr fontId="35" type="noConversion"/>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CB028-15AA-4785-A912-8C74F6E70760}">
  <sheetPr>
    <tabColor theme="2" tint="-0.249977111117893"/>
  </sheetPr>
  <dimension ref="A1:N35"/>
  <sheetViews>
    <sheetView workbookViewId="0"/>
  </sheetViews>
  <sheetFormatPr defaultColWidth="8.5546875" defaultRowHeight="15.6"/>
  <cols>
    <col min="1" max="1" width="16.5546875" style="18" customWidth="1"/>
    <col min="2" max="2" width="24.44140625" style="18" customWidth="1"/>
    <col min="3" max="3" width="18.5546875" style="18" customWidth="1"/>
    <col min="4" max="4" width="13.44140625" style="18" customWidth="1"/>
    <col min="5" max="7" width="21.44140625" style="18" customWidth="1"/>
    <col min="8" max="10" width="21" style="18" customWidth="1"/>
    <col min="11" max="11" width="20" style="18" customWidth="1"/>
    <col min="12" max="13" width="28.44140625" style="18" customWidth="1"/>
    <col min="14" max="14" width="18.44140625" style="18" customWidth="1"/>
    <col min="15" max="16384" width="8.5546875" style="18"/>
  </cols>
  <sheetData>
    <row r="1" spans="1:14" s="38" customFormat="1" ht="40.35" customHeight="1">
      <c r="A1" s="32" t="s">
        <v>2289</v>
      </c>
      <c r="B1" s="32"/>
      <c r="C1" s="36" t="s">
        <v>2296</v>
      </c>
      <c r="D1" s="36"/>
      <c r="E1" s="42" t="s">
        <v>2327</v>
      </c>
      <c r="F1" s="42"/>
      <c r="G1" s="42"/>
      <c r="H1" s="98" t="s">
        <v>2298</v>
      </c>
      <c r="I1" s="98"/>
      <c r="J1" s="98"/>
      <c r="K1" s="99"/>
      <c r="L1" s="99"/>
      <c r="M1" s="99"/>
      <c r="N1" s="44" t="s">
        <v>2299</v>
      </c>
    </row>
    <row r="2" spans="1:14">
      <c r="A2" s="45" t="s">
        <v>2300</v>
      </c>
      <c r="B2" s="45" t="s">
        <v>2301</v>
      </c>
      <c r="C2" s="45" t="s">
        <v>2212</v>
      </c>
      <c r="D2" s="45" t="s">
        <v>1312</v>
      </c>
      <c r="E2" s="19" t="s">
        <v>2328</v>
      </c>
      <c r="F2" s="19" t="s">
        <v>2329</v>
      </c>
      <c r="G2" s="19" t="s">
        <v>2330</v>
      </c>
      <c r="H2" s="45" t="s">
        <v>2331</v>
      </c>
      <c r="I2" s="100" t="s">
        <v>2332</v>
      </c>
      <c r="J2" s="100" t="s">
        <v>2304</v>
      </c>
      <c r="K2" s="101" t="s">
        <v>2305</v>
      </c>
      <c r="L2" s="101" t="s">
        <v>2333</v>
      </c>
      <c r="M2" s="101" t="s">
        <v>2334</v>
      </c>
      <c r="N2" s="45"/>
    </row>
    <row r="3" spans="1:14" s="45" customFormat="1">
      <c r="E3" s="19"/>
      <c r="F3" s="19"/>
      <c r="G3" s="19"/>
      <c r="H3" s="45" t="s">
        <v>2335</v>
      </c>
      <c r="I3" s="100" t="s">
        <v>2336</v>
      </c>
      <c r="J3" s="100" t="s">
        <v>2308</v>
      </c>
      <c r="K3" s="101" t="s">
        <v>2308</v>
      </c>
      <c r="L3" s="101" t="s">
        <v>2309</v>
      </c>
      <c r="M3" s="101" t="s">
        <v>2309</v>
      </c>
    </row>
    <row r="4" spans="1:14">
      <c r="C4" s="18" t="s">
        <v>456</v>
      </c>
      <c r="D4" s="18">
        <v>2020</v>
      </c>
      <c r="E4" s="18" t="s">
        <v>2337</v>
      </c>
      <c r="F4" s="18" t="s">
        <v>280</v>
      </c>
      <c r="G4" s="18" t="s">
        <v>443</v>
      </c>
      <c r="H4" s="18">
        <v>1.7000000000000001E-2</v>
      </c>
      <c r="I4" s="18">
        <v>0</v>
      </c>
      <c r="J4" s="18" t="s">
        <v>2338</v>
      </c>
      <c r="K4" s="18" t="s">
        <v>2338</v>
      </c>
    </row>
    <row r="5" spans="1:14">
      <c r="C5" s="18" t="s">
        <v>456</v>
      </c>
      <c r="D5" s="18">
        <v>2030</v>
      </c>
      <c r="E5" s="18" t="s">
        <v>2337</v>
      </c>
      <c r="F5" s="18" t="s">
        <v>280</v>
      </c>
      <c r="G5" s="18" t="s">
        <v>443</v>
      </c>
      <c r="H5" s="18">
        <v>1.7000000000000001E-2</v>
      </c>
      <c r="I5" s="18">
        <v>0</v>
      </c>
      <c r="J5" s="18" t="s">
        <v>2338</v>
      </c>
      <c r="K5" s="18" t="s">
        <v>2338</v>
      </c>
    </row>
    <row r="6" spans="1:14">
      <c r="C6" s="18" t="s">
        <v>456</v>
      </c>
      <c r="D6" s="18">
        <v>2040</v>
      </c>
      <c r="E6" s="18" t="s">
        <v>2337</v>
      </c>
      <c r="F6" s="18" t="s">
        <v>280</v>
      </c>
      <c r="G6" s="18" t="s">
        <v>443</v>
      </c>
      <c r="H6" s="18">
        <v>1.7000000000000001E-2</v>
      </c>
      <c r="I6" s="18">
        <v>0</v>
      </c>
      <c r="J6" s="18" t="s">
        <v>2338</v>
      </c>
      <c r="K6" s="18" t="s">
        <v>2338</v>
      </c>
    </row>
    <row r="7" spans="1:14">
      <c r="C7" s="18" t="s">
        <v>456</v>
      </c>
      <c r="D7" s="18">
        <v>2020</v>
      </c>
      <c r="E7" s="18" t="s">
        <v>2337</v>
      </c>
      <c r="F7" s="18" t="s">
        <v>574</v>
      </c>
      <c r="G7" s="18" t="s">
        <v>405</v>
      </c>
      <c r="H7" s="18">
        <v>0</v>
      </c>
      <c r="I7" s="18">
        <v>0</v>
      </c>
      <c r="J7" s="18" t="s">
        <v>2338</v>
      </c>
      <c r="K7" s="18" t="s">
        <v>2338</v>
      </c>
    </row>
    <row r="8" spans="1:14">
      <c r="C8" s="18" t="s">
        <v>456</v>
      </c>
      <c r="D8" s="18">
        <v>2030</v>
      </c>
      <c r="E8" s="18" t="s">
        <v>2337</v>
      </c>
      <c r="F8" s="18" t="s">
        <v>574</v>
      </c>
      <c r="G8" s="18" t="s">
        <v>405</v>
      </c>
      <c r="H8" s="18">
        <v>0</v>
      </c>
      <c r="I8" s="18">
        <v>0</v>
      </c>
      <c r="J8" s="18" t="s">
        <v>2338</v>
      </c>
      <c r="K8" s="18" t="s">
        <v>2338</v>
      </c>
    </row>
    <row r="9" spans="1:14">
      <c r="C9" s="18" t="s">
        <v>456</v>
      </c>
      <c r="D9" s="18">
        <v>2040</v>
      </c>
      <c r="E9" s="18" t="s">
        <v>2337</v>
      </c>
      <c r="F9" s="18" t="s">
        <v>574</v>
      </c>
      <c r="G9" s="18" t="s">
        <v>405</v>
      </c>
      <c r="H9" s="18">
        <v>0</v>
      </c>
      <c r="I9" s="18">
        <v>0</v>
      </c>
      <c r="J9" s="18" t="s">
        <v>2338</v>
      </c>
      <c r="K9" s="18" t="s">
        <v>2338</v>
      </c>
    </row>
    <row r="10" spans="1:14">
      <c r="C10" s="18" t="s">
        <v>456</v>
      </c>
      <c r="D10" s="18">
        <v>2050</v>
      </c>
      <c r="E10" s="18" t="s">
        <v>2337</v>
      </c>
      <c r="F10" s="18" t="s">
        <v>574</v>
      </c>
      <c r="G10" s="18" t="s">
        <v>405</v>
      </c>
      <c r="H10" s="18">
        <v>0</v>
      </c>
      <c r="I10" s="18">
        <v>0</v>
      </c>
      <c r="J10" s="18" t="s">
        <v>2338</v>
      </c>
      <c r="K10" s="18" t="s">
        <v>2338</v>
      </c>
    </row>
    <row r="11" spans="1:14">
      <c r="C11" s="18" t="s">
        <v>456</v>
      </c>
      <c r="D11" s="18">
        <v>2020</v>
      </c>
      <c r="E11" s="18" t="s">
        <v>2337</v>
      </c>
      <c r="F11" s="18" t="s">
        <v>574</v>
      </c>
      <c r="G11" s="18" t="s">
        <v>407</v>
      </c>
      <c r="H11" s="18">
        <v>0</v>
      </c>
      <c r="I11" s="18">
        <v>0</v>
      </c>
      <c r="J11" s="18" t="s">
        <v>2338</v>
      </c>
      <c r="K11" s="18" t="s">
        <v>2338</v>
      </c>
    </row>
    <row r="12" spans="1:14">
      <c r="C12" s="18" t="s">
        <v>456</v>
      </c>
      <c r="D12" s="18">
        <v>2030</v>
      </c>
      <c r="E12" s="18" t="s">
        <v>2337</v>
      </c>
      <c r="F12" s="18" t="s">
        <v>574</v>
      </c>
      <c r="G12" s="18" t="s">
        <v>407</v>
      </c>
      <c r="H12" s="18">
        <v>0</v>
      </c>
      <c r="I12" s="18">
        <v>0</v>
      </c>
      <c r="J12" s="18" t="s">
        <v>2338</v>
      </c>
      <c r="K12" s="18" t="s">
        <v>2338</v>
      </c>
    </row>
    <row r="13" spans="1:14">
      <c r="C13" s="18" t="s">
        <v>456</v>
      </c>
      <c r="D13" s="18">
        <v>2040</v>
      </c>
      <c r="E13" s="18" t="s">
        <v>2337</v>
      </c>
      <c r="F13" s="18" t="s">
        <v>574</v>
      </c>
      <c r="G13" s="18" t="s">
        <v>407</v>
      </c>
      <c r="H13" s="18">
        <v>0</v>
      </c>
      <c r="I13" s="18">
        <v>0</v>
      </c>
      <c r="J13" s="18" t="s">
        <v>2338</v>
      </c>
      <c r="K13" s="18" t="s">
        <v>2338</v>
      </c>
    </row>
    <row r="14" spans="1:14">
      <c r="C14" s="18" t="s">
        <v>456</v>
      </c>
      <c r="D14" s="18">
        <v>2050</v>
      </c>
      <c r="E14" s="18" t="s">
        <v>2337</v>
      </c>
      <c r="F14" s="18" t="s">
        <v>574</v>
      </c>
      <c r="G14" s="18" t="s">
        <v>407</v>
      </c>
      <c r="H14" s="18">
        <v>0</v>
      </c>
      <c r="I14" s="18">
        <v>0</v>
      </c>
      <c r="J14" s="18" t="s">
        <v>2338</v>
      </c>
      <c r="K14" s="18" t="s">
        <v>2338</v>
      </c>
    </row>
    <row r="15" spans="1:14">
      <c r="C15" s="18" t="s">
        <v>456</v>
      </c>
      <c r="D15" s="18">
        <v>2020</v>
      </c>
      <c r="E15" s="18" t="s">
        <v>2337</v>
      </c>
      <c r="F15" s="18" t="s">
        <v>574</v>
      </c>
      <c r="G15" s="18" t="s">
        <v>409</v>
      </c>
      <c r="H15" s="18">
        <v>0</v>
      </c>
      <c r="I15" s="18">
        <v>0</v>
      </c>
      <c r="J15" s="18" t="s">
        <v>2338</v>
      </c>
      <c r="K15" s="18" t="s">
        <v>2338</v>
      </c>
    </row>
    <row r="16" spans="1:14">
      <c r="C16" s="18" t="s">
        <v>456</v>
      </c>
      <c r="D16" s="18">
        <v>2030</v>
      </c>
      <c r="E16" s="18" t="s">
        <v>2337</v>
      </c>
      <c r="F16" s="18" t="s">
        <v>574</v>
      </c>
      <c r="G16" s="18" t="s">
        <v>409</v>
      </c>
      <c r="H16" s="18">
        <v>0</v>
      </c>
      <c r="I16" s="18">
        <v>0</v>
      </c>
      <c r="J16" s="18" t="s">
        <v>2338</v>
      </c>
      <c r="K16" s="18" t="s">
        <v>2338</v>
      </c>
    </row>
    <row r="17" spans="3:13">
      <c r="C17" s="18" t="s">
        <v>456</v>
      </c>
      <c r="D17" s="18">
        <v>2040</v>
      </c>
      <c r="E17" s="18" t="s">
        <v>2337</v>
      </c>
      <c r="F17" s="18" t="s">
        <v>574</v>
      </c>
      <c r="G17" s="18" t="s">
        <v>409</v>
      </c>
      <c r="H17" s="18">
        <v>0</v>
      </c>
      <c r="I17" s="18">
        <v>0</v>
      </c>
      <c r="J17" s="18" t="s">
        <v>2338</v>
      </c>
      <c r="K17" s="18" t="s">
        <v>2338</v>
      </c>
    </row>
    <row r="18" spans="3:13">
      <c r="C18" s="18" t="s">
        <v>456</v>
      </c>
      <c r="D18" s="18">
        <v>2050</v>
      </c>
      <c r="E18" s="18" t="s">
        <v>2337</v>
      </c>
      <c r="F18" s="18" t="s">
        <v>574</v>
      </c>
      <c r="G18" s="18" t="s">
        <v>409</v>
      </c>
      <c r="H18" s="18">
        <v>0</v>
      </c>
      <c r="I18" s="18">
        <v>0</v>
      </c>
      <c r="J18" s="18" t="s">
        <v>2338</v>
      </c>
      <c r="K18" s="18" t="s">
        <v>2338</v>
      </c>
    </row>
    <row r="19" spans="3:13">
      <c r="C19" s="18" t="s">
        <v>456</v>
      </c>
      <c r="D19" s="18">
        <v>2020</v>
      </c>
      <c r="E19" s="18" t="s">
        <v>2337</v>
      </c>
      <c r="F19" s="18" t="s">
        <v>301</v>
      </c>
      <c r="G19" s="18" t="s">
        <v>360</v>
      </c>
      <c r="H19" s="18">
        <v>0</v>
      </c>
      <c r="I19" s="18">
        <v>0</v>
      </c>
      <c r="K19" s="18">
        <v>0.06</v>
      </c>
    </row>
    <row r="20" spans="3:13">
      <c r="C20" s="18" t="s">
        <v>456</v>
      </c>
      <c r="D20" s="18">
        <v>2030</v>
      </c>
      <c r="E20" s="18" t="s">
        <v>2337</v>
      </c>
      <c r="F20" s="18" t="s">
        <v>301</v>
      </c>
      <c r="G20" s="18" t="s">
        <v>360</v>
      </c>
      <c r="H20" s="18">
        <v>0</v>
      </c>
      <c r="I20" s="18">
        <v>0</v>
      </c>
      <c r="K20" s="18">
        <v>0.32</v>
      </c>
    </row>
    <row r="21" spans="3:13">
      <c r="C21" s="18" t="s">
        <v>456</v>
      </c>
      <c r="D21" s="18">
        <v>2040</v>
      </c>
      <c r="E21" s="18" t="s">
        <v>2337</v>
      </c>
      <c r="F21" s="18" t="s">
        <v>301</v>
      </c>
      <c r="G21" s="18" t="s">
        <v>360</v>
      </c>
      <c r="H21" s="18">
        <v>0</v>
      </c>
      <c r="I21" s="18">
        <v>0</v>
      </c>
      <c r="K21" s="18">
        <v>1</v>
      </c>
    </row>
    <row r="22" spans="3:13">
      <c r="C22" s="18" t="s">
        <v>456</v>
      </c>
      <c r="D22" s="18">
        <v>2050</v>
      </c>
      <c r="E22" s="18" t="s">
        <v>2337</v>
      </c>
      <c r="F22" s="18" t="s">
        <v>301</v>
      </c>
      <c r="G22" s="18" t="s">
        <v>360</v>
      </c>
      <c r="H22" s="18">
        <v>0</v>
      </c>
      <c r="I22" s="18">
        <v>0</v>
      </c>
      <c r="K22" s="18">
        <v>3</v>
      </c>
    </row>
    <row r="23" spans="3:13">
      <c r="C23" s="18" t="s">
        <v>456</v>
      </c>
      <c r="D23" s="18">
        <v>2020</v>
      </c>
      <c r="E23" s="18" t="s">
        <v>2337</v>
      </c>
      <c r="F23" s="18" t="s">
        <v>2133</v>
      </c>
      <c r="G23" s="18" t="s">
        <v>2133</v>
      </c>
      <c r="H23" s="18">
        <v>0.03</v>
      </c>
      <c r="I23" s="18">
        <v>0.33400000000000002</v>
      </c>
    </row>
    <row r="24" spans="3:13">
      <c r="C24" s="18" t="s">
        <v>456</v>
      </c>
      <c r="D24" s="18">
        <v>2020</v>
      </c>
      <c r="E24" s="18" t="s">
        <v>2337</v>
      </c>
      <c r="F24" s="18" t="s">
        <v>302</v>
      </c>
      <c r="G24" s="18" t="s">
        <v>342</v>
      </c>
      <c r="H24" s="18">
        <v>3.4000000000000002E-2</v>
      </c>
      <c r="I24" s="18">
        <v>0</v>
      </c>
      <c r="M24" s="18">
        <v>15.583</v>
      </c>
    </row>
    <row r="25" spans="3:13">
      <c r="C25" s="18" t="s">
        <v>456</v>
      </c>
      <c r="D25" s="18">
        <v>2030</v>
      </c>
      <c r="E25" s="18" t="s">
        <v>2337</v>
      </c>
      <c r="F25" s="18" t="s">
        <v>302</v>
      </c>
      <c r="G25" s="18" t="s">
        <v>342</v>
      </c>
      <c r="H25" s="18">
        <v>3.6999999999999998E-2</v>
      </c>
      <c r="I25" s="18">
        <v>0</v>
      </c>
      <c r="M25" s="18">
        <v>15.583</v>
      </c>
    </row>
    <row r="26" spans="3:13">
      <c r="C26" s="18" t="s">
        <v>456</v>
      </c>
      <c r="D26" s="18">
        <v>2040</v>
      </c>
      <c r="E26" s="18" t="s">
        <v>2337</v>
      </c>
      <c r="F26" s="18" t="s">
        <v>302</v>
      </c>
      <c r="G26" s="18" t="s">
        <v>342</v>
      </c>
      <c r="H26" s="18">
        <v>4.7E-2</v>
      </c>
      <c r="I26" s="18">
        <v>0</v>
      </c>
      <c r="M26" s="18">
        <v>15.583</v>
      </c>
    </row>
    <row r="27" spans="3:13">
      <c r="C27" s="18" t="s">
        <v>456</v>
      </c>
      <c r="D27" s="18">
        <v>2050</v>
      </c>
      <c r="E27" s="18" t="s">
        <v>2337</v>
      </c>
      <c r="F27" s="18" t="s">
        <v>302</v>
      </c>
      <c r="G27" s="18" t="s">
        <v>342</v>
      </c>
      <c r="H27" s="18">
        <v>4.7E-2</v>
      </c>
      <c r="I27" s="18">
        <v>0</v>
      </c>
      <c r="M27" s="18">
        <v>15.583</v>
      </c>
    </row>
    <row r="28" spans="3:13">
      <c r="C28" s="18" t="s">
        <v>456</v>
      </c>
      <c r="D28" s="18">
        <v>2020</v>
      </c>
      <c r="E28" s="18" t="s">
        <v>2337</v>
      </c>
      <c r="F28" s="18" t="s">
        <v>334</v>
      </c>
      <c r="G28" s="18" t="s">
        <v>339</v>
      </c>
      <c r="H28" s="18">
        <v>4.7000000000000002E-3</v>
      </c>
      <c r="I28" s="18">
        <v>0</v>
      </c>
      <c r="M28" s="18">
        <v>11.22</v>
      </c>
    </row>
    <row r="29" spans="3:13">
      <c r="C29" s="18" t="s">
        <v>456</v>
      </c>
      <c r="D29" s="18">
        <v>2030</v>
      </c>
      <c r="E29" s="18" t="s">
        <v>2337</v>
      </c>
      <c r="F29" s="18" t="s">
        <v>334</v>
      </c>
      <c r="G29" s="18" t="s">
        <v>339</v>
      </c>
      <c r="H29" s="18">
        <v>4.7000000000000002E-3</v>
      </c>
      <c r="I29" s="18">
        <v>0</v>
      </c>
      <c r="M29" s="18">
        <v>11.22</v>
      </c>
    </row>
    <row r="30" spans="3:13">
      <c r="C30" s="18" t="s">
        <v>456</v>
      </c>
      <c r="D30" s="18">
        <v>2040</v>
      </c>
      <c r="E30" s="18" t="s">
        <v>2337</v>
      </c>
      <c r="F30" s="18" t="s">
        <v>334</v>
      </c>
      <c r="G30" s="18" t="s">
        <v>339</v>
      </c>
      <c r="H30" s="18">
        <v>4.7000000000000002E-3</v>
      </c>
      <c r="I30" s="18">
        <v>0</v>
      </c>
      <c r="M30" s="18">
        <v>11.22</v>
      </c>
    </row>
    <row r="31" spans="3:13">
      <c r="C31" s="18" t="s">
        <v>456</v>
      </c>
      <c r="D31" s="18">
        <v>2050</v>
      </c>
      <c r="E31" s="18" t="s">
        <v>2337</v>
      </c>
      <c r="F31" s="18" t="s">
        <v>334</v>
      </c>
      <c r="G31" s="18" t="s">
        <v>339</v>
      </c>
      <c r="H31" s="18">
        <v>4.7000000000000002E-3</v>
      </c>
      <c r="I31" s="18">
        <v>0</v>
      </c>
      <c r="M31" s="18">
        <v>11.22</v>
      </c>
    </row>
    <row r="32" spans="3:13">
      <c r="C32" s="18" t="s">
        <v>456</v>
      </c>
      <c r="D32" s="18">
        <v>2020</v>
      </c>
      <c r="E32" s="18" t="s">
        <v>2337</v>
      </c>
      <c r="F32" s="18" t="s">
        <v>838</v>
      </c>
      <c r="G32" s="18" t="s">
        <v>429</v>
      </c>
      <c r="H32" s="18">
        <v>0</v>
      </c>
      <c r="I32" s="18">
        <v>0</v>
      </c>
      <c r="M32" s="18">
        <v>0</v>
      </c>
    </row>
    <row r="33" spans="3:13">
      <c r="C33" s="18" t="s">
        <v>456</v>
      </c>
      <c r="D33" s="18">
        <v>2030</v>
      </c>
      <c r="E33" s="18" t="s">
        <v>2337</v>
      </c>
      <c r="F33" s="18" t="s">
        <v>838</v>
      </c>
      <c r="G33" s="18" t="s">
        <v>429</v>
      </c>
      <c r="H33" s="18">
        <v>0</v>
      </c>
      <c r="I33" s="18">
        <v>0</v>
      </c>
      <c r="M33" s="18">
        <v>0</v>
      </c>
    </row>
    <row r="34" spans="3:13">
      <c r="C34" s="18" t="s">
        <v>456</v>
      </c>
      <c r="D34" s="18">
        <v>2040</v>
      </c>
      <c r="E34" s="18" t="s">
        <v>2337</v>
      </c>
      <c r="F34" s="18" t="s">
        <v>838</v>
      </c>
      <c r="G34" s="18" t="s">
        <v>429</v>
      </c>
      <c r="H34" s="18">
        <v>0</v>
      </c>
      <c r="I34" s="18">
        <v>0</v>
      </c>
    </row>
    <row r="35" spans="3:13">
      <c r="C35" s="18" t="s">
        <v>456</v>
      </c>
      <c r="D35" s="18">
        <v>2050</v>
      </c>
      <c r="E35" s="18" t="s">
        <v>2337</v>
      </c>
      <c r="F35" s="18" t="s">
        <v>838</v>
      </c>
      <c r="G35" s="18" t="s">
        <v>429</v>
      </c>
      <c r="H35" s="18">
        <v>0</v>
      </c>
      <c r="I35" s="18">
        <v>0</v>
      </c>
    </row>
  </sheetData>
  <phoneticPr fontId="36"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C7947-E518-4354-B7C1-B02E3A096467}">
  <sheetPr>
    <tabColor theme="2" tint="-0.249977111117893"/>
  </sheetPr>
  <dimension ref="A1"/>
  <sheetViews>
    <sheetView workbookViewId="0"/>
  </sheetViews>
  <sheetFormatPr defaultColWidth="8.5546875" defaultRowHeight="13.2"/>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33FF5-3B59-4C3B-9F77-BA27AE778AB7}">
  <sheetPr>
    <tabColor theme="2" tint="-0.249977111117893"/>
  </sheetPr>
  <dimension ref="A1:I35"/>
  <sheetViews>
    <sheetView workbookViewId="0"/>
  </sheetViews>
  <sheetFormatPr defaultColWidth="8.5546875" defaultRowHeight="13.2"/>
  <cols>
    <col min="1" max="1" width="17" customWidth="1"/>
    <col min="2" max="2" width="23.5546875" customWidth="1"/>
    <col min="3" max="3" width="19.5546875" customWidth="1"/>
    <col min="5" max="5" width="20.44140625" customWidth="1"/>
    <col min="6" max="6" width="23.5546875" customWidth="1"/>
    <col min="7" max="7" width="20.5546875" customWidth="1"/>
    <col min="8" max="8" width="36.5546875" customWidth="1"/>
    <col min="9" max="9" width="16.5546875" customWidth="1"/>
  </cols>
  <sheetData>
    <row r="1" spans="1:9" ht="21">
      <c r="A1" s="32" t="s">
        <v>2289</v>
      </c>
      <c r="B1" s="32"/>
      <c r="C1" s="36" t="s">
        <v>2296</v>
      </c>
      <c r="D1" s="36"/>
      <c r="E1" s="42" t="s">
        <v>2339</v>
      </c>
      <c r="F1" s="42"/>
      <c r="G1" s="98" t="s">
        <v>2298</v>
      </c>
      <c r="H1" s="98"/>
      <c r="I1" s="44" t="s">
        <v>2299</v>
      </c>
    </row>
    <row r="2" spans="1:9" ht="15.6">
      <c r="A2" s="45" t="s">
        <v>2300</v>
      </c>
      <c r="B2" s="45" t="s">
        <v>2301</v>
      </c>
      <c r="C2" s="45" t="s">
        <v>2340</v>
      </c>
      <c r="D2" s="45" t="s">
        <v>1312</v>
      </c>
      <c r="E2" s="19" t="s">
        <v>2341</v>
      </c>
      <c r="F2" s="19" t="s">
        <v>2342</v>
      </c>
      <c r="G2" s="45" t="s">
        <v>2343</v>
      </c>
      <c r="H2" s="100" t="s">
        <v>2344</v>
      </c>
      <c r="I2" s="45"/>
    </row>
    <row r="3" spans="1:9" ht="15.6">
      <c r="A3" s="18" t="s">
        <v>2345</v>
      </c>
      <c r="B3" s="18" t="s">
        <v>2345</v>
      </c>
      <c r="C3" s="18" t="s">
        <v>456</v>
      </c>
      <c r="D3" s="18">
        <v>2025</v>
      </c>
      <c r="E3" s="18" t="s">
        <v>2346</v>
      </c>
      <c r="F3" s="19"/>
      <c r="G3" s="45" t="s">
        <v>2347</v>
      </c>
      <c r="H3" s="100" t="s">
        <v>2348</v>
      </c>
      <c r="I3" s="45"/>
    </row>
    <row r="4" spans="1:9" ht="15.6">
      <c r="A4" s="18"/>
      <c r="B4" s="18"/>
      <c r="C4" s="18" t="s">
        <v>456</v>
      </c>
      <c r="D4" s="18">
        <v>2025</v>
      </c>
      <c r="E4" s="18" t="s">
        <v>2349</v>
      </c>
      <c r="F4" s="18"/>
      <c r="G4" s="18"/>
      <c r="H4" s="18"/>
      <c r="I4" s="18"/>
    </row>
    <row r="5" spans="1:9" ht="15.6">
      <c r="A5" s="18"/>
      <c r="B5" s="18"/>
      <c r="C5" s="18" t="s">
        <v>456</v>
      </c>
      <c r="D5" s="18">
        <v>2030</v>
      </c>
      <c r="E5" s="18" t="s">
        <v>2346</v>
      </c>
      <c r="F5" s="18"/>
      <c r="G5" s="18"/>
      <c r="H5" s="18"/>
      <c r="I5" s="18"/>
    </row>
    <row r="6" spans="1:9" ht="15.6">
      <c r="A6" s="18"/>
      <c r="B6" s="18"/>
      <c r="C6" s="18" t="s">
        <v>456</v>
      </c>
      <c r="D6" s="18">
        <v>2030</v>
      </c>
      <c r="E6" s="18" t="s">
        <v>2349</v>
      </c>
      <c r="F6" s="18"/>
      <c r="G6" s="18"/>
      <c r="H6" s="18"/>
      <c r="I6" s="18"/>
    </row>
    <row r="7" spans="1:9" ht="15.6">
      <c r="A7" s="18"/>
      <c r="B7" s="18"/>
      <c r="C7" s="18" t="s">
        <v>456</v>
      </c>
      <c r="D7" s="18">
        <v>2040</v>
      </c>
      <c r="E7" s="18" t="s">
        <v>2346</v>
      </c>
      <c r="F7" s="18"/>
      <c r="G7" s="18"/>
      <c r="H7" s="18"/>
      <c r="I7" s="18"/>
    </row>
    <row r="8" spans="1:9" ht="15.6">
      <c r="A8" s="18"/>
      <c r="B8" s="18"/>
      <c r="C8" s="18" t="s">
        <v>456</v>
      </c>
      <c r="D8" s="18">
        <v>2040</v>
      </c>
      <c r="E8" s="18" t="s">
        <v>2349</v>
      </c>
      <c r="F8" s="18"/>
      <c r="G8" s="18"/>
      <c r="H8" s="18"/>
      <c r="I8" s="18"/>
    </row>
    <row r="9" spans="1:9" ht="15.6">
      <c r="A9" s="18"/>
      <c r="B9" s="18"/>
      <c r="C9" s="18" t="s">
        <v>456</v>
      </c>
      <c r="D9" s="18">
        <v>2050</v>
      </c>
      <c r="E9" s="18" t="s">
        <v>2346</v>
      </c>
      <c r="F9" s="18"/>
      <c r="G9" s="18"/>
      <c r="H9" s="18"/>
      <c r="I9" s="18"/>
    </row>
    <row r="10" spans="1:9" ht="15.6">
      <c r="A10" s="18"/>
      <c r="B10" s="18"/>
      <c r="C10" s="18" t="s">
        <v>456</v>
      </c>
      <c r="D10" s="18">
        <v>2050</v>
      </c>
      <c r="E10" s="18" t="s">
        <v>2349</v>
      </c>
      <c r="F10" s="18"/>
      <c r="G10" s="18"/>
      <c r="H10" s="18"/>
      <c r="I10" s="18"/>
    </row>
    <row r="11" spans="1:9" ht="15.6">
      <c r="A11" s="18"/>
      <c r="B11" s="18"/>
      <c r="C11" s="18"/>
      <c r="D11" s="18"/>
      <c r="E11" s="18"/>
      <c r="F11" s="18"/>
      <c r="G11" s="18"/>
      <c r="H11" s="18"/>
      <c r="I11" s="18"/>
    </row>
    <row r="12" spans="1:9" ht="15.6">
      <c r="A12" s="18"/>
      <c r="B12" s="18"/>
      <c r="C12" s="18"/>
      <c r="D12" s="18"/>
      <c r="E12" s="18"/>
      <c r="F12" s="18"/>
      <c r="G12" s="18"/>
      <c r="H12" s="18"/>
      <c r="I12" s="18"/>
    </row>
    <row r="13" spans="1:9" ht="15.6">
      <c r="A13" s="18"/>
      <c r="B13" s="18"/>
      <c r="C13" s="18"/>
      <c r="D13" s="18"/>
      <c r="E13" s="18"/>
      <c r="F13" s="18"/>
      <c r="G13" s="18"/>
      <c r="H13" s="18"/>
      <c r="I13" s="18"/>
    </row>
    <row r="14" spans="1:9" ht="15.6">
      <c r="A14" s="18"/>
      <c r="B14" s="18"/>
      <c r="C14" s="18"/>
      <c r="D14" s="18"/>
      <c r="E14" s="18"/>
      <c r="F14" s="18"/>
      <c r="G14" s="18"/>
      <c r="H14" s="18"/>
      <c r="I14" s="18"/>
    </row>
    <row r="15" spans="1:9" ht="15.6">
      <c r="A15" s="18"/>
      <c r="B15" s="18"/>
      <c r="C15" s="18"/>
      <c r="D15" s="18"/>
      <c r="E15" s="18"/>
      <c r="F15" s="18"/>
      <c r="G15" s="18"/>
      <c r="H15" s="18"/>
      <c r="I15" s="18"/>
    </row>
    <row r="16" spans="1:9" ht="15.6">
      <c r="A16" s="18"/>
      <c r="B16" s="18"/>
      <c r="C16" s="18"/>
      <c r="D16" s="18"/>
      <c r="E16" s="18"/>
      <c r="F16" s="18"/>
      <c r="G16" s="18"/>
      <c r="H16" s="18"/>
      <c r="I16" s="18"/>
    </row>
    <row r="17" spans="1:9" ht="15.6">
      <c r="A17" s="18"/>
      <c r="B17" s="18"/>
      <c r="C17" s="18"/>
      <c r="D17" s="18"/>
      <c r="E17" s="18"/>
      <c r="F17" s="18"/>
      <c r="G17" s="18"/>
      <c r="H17" s="18"/>
      <c r="I17" s="18"/>
    </row>
    <row r="18" spans="1:9" ht="15.6">
      <c r="A18" s="18"/>
      <c r="B18" s="18"/>
      <c r="C18" s="18"/>
      <c r="D18" s="18"/>
      <c r="E18" s="18"/>
      <c r="F18" s="18"/>
      <c r="G18" s="18"/>
      <c r="H18" s="18"/>
      <c r="I18" s="18"/>
    </row>
    <row r="19" spans="1:9" ht="15.6">
      <c r="A19" s="18"/>
      <c r="B19" s="18"/>
      <c r="C19" s="18"/>
      <c r="D19" s="18"/>
      <c r="E19" s="18"/>
      <c r="F19" s="18"/>
      <c r="G19" s="18"/>
      <c r="H19" s="18"/>
      <c r="I19" s="18"/>
    </row>
    <row r="20" spans="1:9" ht="15.6">
      <c r="A20" s="18"/>
      <c r="B20" s="18"/>
      <c r="C20" s="18"/>
      <c r="D20" s="18"/>
      <c r="E20" s="18"/>
      <c r="F20" s="18"/>
      <c r="G20" s="18"/>
      <c r="H20" s="18"/>
      <c r="I20" s="18"/>
    </row>
    <row r="21" spans="1:9" ht="15.6">
      <c r="A21" s="18"/>
      <c r="B21" s="18"/>
      <c r="C21" s="18"/>
      <c r="D21" s="18"/>
      <c r="E21" s="18"/>
      <c r="F21" s="18"/>
      <c r="G21" s="18"/>
      <c r="H21" s="18"/>
      <c r="I21" s="18"/>
    </row>
    <row r="22" spans="1:9" ht="15.6">
      <c r="A22" s="18"/>
      <c r="B22" s="18"/>
      <c r="C22" s="18"/>
      <c r="D22" s="18"/>
      <c r="E22" s="18"/>
      <c r="F22" s="18"/>
      <c r="G22" s="18"/>
      <c r="H22" s="18"/>
      <c r="I22" s="18"/>
    </row>
    <row r="23" spans="1:9" ht="15.6">
      <c r="A23" s="18"/>
      <c r="B23" s="18"/>
      <c r="C23" s="18"/>
      <c r="D23" s="18"/>
      <c r="E23" s="18"/>
      <c r="F23" s="18"/>
      <c r="G23" s="18"/>
      <c r="H23" s="18"/>
      <c r="I23" s="18"/>
    </row>
    <row r="24" spans="1:9" ht="15.6">
      <c r="A24" s="18"/>
      <c r="B24" s="18"/>
      <c r="C24" s="18"/>
      <c r="D24" s="18"/>
      <c r="E24" s="18"/>
      <c r="F24" s="18"/>
      <c r="G24" s="18"/>
      <c r="H24" s="18"/>
      <c r="I24" s="18"/>
    </row>
    <row r="25" spans="1:9" ht="15.6">
      <c r="A25" s="18"/>
      <c r="B25" s="18"/>
      <c r="C25" s="18"/>
      <c r="D25" s="18"/>
      <c r="E25" s="18"/>
      <c r="F25" s="18"/>
      <c r="G25" s="18"/>
      <c r="H25" s="18"/>
      <c r="I25" s="18"/>
    </row>
    <row r="26" spans="1:9" ht="15.6">
      <c r="A26" s="18"/>
      <c r="B26" s="18"/>
      <c r="C26" s="18"/>
      <c r="D26" s="18"/>
      <c r="E26" s="18"/>
      <c r="F26" s="18"/>
      <c r="G26" s="18"/>
      <c r="H26" s="18"/>
      <c r="I26" s="18"/>
    </row>
    <row r="27" spans="1:9" ht="15.6">
      <c r="A27" s="18"/>
      <c r="B27" s="18"/>
      <c r="C27" s="18"/>
      <c r="D27" s="18"/>
      <c r="E27" s="18"/>
      <c r="F27" s="18"/>
      <c r="G27" s="18"/>
      <c r="H27" s="18"/>
      <c r="I27" s="18"/>
    </row>
    <row r="28" spans="1:9" ht="15.6">
      <c r="A28" s="18"/>
      <c r="B28" s="18"/>
      <c r="C28" s="18"/>
      <c r="D28" s="18"/>
      <c r="E28" s="18"/>
      <c r="F28" s="18"/>
      <c r="G28" s="18"/>
      <c r="H28" s="18"/>
      <c r="I28" s="18"/>
    </row>
    <row r="29" spans="1:9" ht="15.6">
      <c r="A29" s="18"/>
      <c r="B29" s="18"/>
      <c r="C29" s="18"/>
      <c r="D29" s="18"/>
      <c r="E29" s="18"/>
      <c r="F29" s="18"/>
      <c r="G29" s="18"/>
      <c r="H29" s="18"/>
      <c r="I29" s="18"/>
    </row>
    <row r="30" spans="1:9" ht="15.6">
      <c r="A30" s="18"/>
      <c r="B30" s="18"/>
      <c r="C30" s="18"/>
      <c r="D30" s="18"/>
      <c r="E30" s="18"/>
      <c r="F30" s="18"/>
      <c r="G30" s="18"/>
      <c r="H30" s="18"/>
      <c r="I30" s="18"/>
    </row>
    <row r="31" spans="1:9" ht="15.6">
      <c r="A31" s="18"/>
      <c r="B31" s="18"/>
      <c r="C31" s="18"/>
      <c r="D31" s="18"/>
      <c r="E31" s="18"/>
      <c r="F31" s="18"/>
      <c r="G31" s="18"/>
      <c r="H31" s="18"/>
      <c r="I31" s="18"/>
    </row>
    <row r="32" spans="1:9" ht="15.6">
      <c r="A32" s="18"/>
      <c r="B32" s="18"/>
      <c r="C32" s="18"/>
      <c r="D32" s="18"/>
      <c r="E32" s="18"/>
      <c r="F32" s="18"/>
      <c r="G32" s="18"/>
      <c r="H32" s="18"/>
      <c r="I32" s="18"/>
    </row>
    <row r="33" spans="1:9" ht="15.6">
      <c r="A33" s="18"/>
      <c r="B33" s="18"/>
      <c r="C33" s="18"/>
      <c r="D33" s="18"/>
      <c r="E33" s="18"/>
      <c r="F33" s="18"/>
      <c r="G33" s="18"/>
      <c r="H33" s="18"/>
      <c r="I33" s="18"/>
    </row>
    <row r="34" spans="1:9" ht="15.6">
      <c r="A34" s="18"/>
      <c r="B34" s="18"/>
      <c r="C34" s="18"/>
      <c r="D34" s="18"/>
      <c r="E34" s="18"/>
      <c r="F34" s="18"/>
      <c r="G34" s="18"/>
      <c r="H34" s="18"/>
      <c r="I34" s="18"/>
    </row>
    <row r="35" spans="1:9" ht="15.6">
      <c r="A35" s="18"/>
      <c r="B35" s="18"/>
      <c r="C35" s="18"/>
      <c r="D35" s="18"/>
      <c r="E35" s="18"/>
      <c r="F35" s="18"/>
      <c r="G35" s="18"/>
      <c r="H35" s="18"/>
      <c r="I35" s="18"/>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0000"/>
    <outlinePr summaryBelow="0" summaryRight="0"/>
  </sheetPr>
  <dimension ref="A1:G18"/>
  <sheetViews>
    <sheetView workbookViewId="0"/>
  </sheetViews>
  <sheetFormatPr defaultColWidth="12.5546875" defaultRowHeight="16.5" customHeight="1"/>
  <cols>
    <col min="1" max="2" width="43.44140625" customWidth="1"/>
    <col min="3" max="3" width="16.44140625" customWidth="1"/>
    <col min="4" max="4" width="17.44140625" customWidth="1"/>
    <col min="7" max="7" width="19.5546875" customWidth="1"/>
  </cols>
  <sheetData>
    <row r="1" spans="1:7" ht="16.5" customHeight="1">
      <c r="A1" s="16" t="s">
        <v>2210</v>
      </c>
      <c r="B1" s="2" t="s">
        <v>2350</v>
      </c>
      <c r="C1" s="16" t="s">
        <v>2351</v>
      </c>
      <c r="D1" s="2" t="s">
        <v>2352</v>
      </c>
      <c r="E1" s="2" t="s">
        <v>2353</v>
      </c>
      <c r="F1" s="2" t="s">
        <v>333</v>
      </c>
      <c r="G1" s="2" t="s">
        <v>2354</v>
      </c>
    </row>
    <row r="2" spans="1:7" ht="16.5" customHeight="1">
      <c r="B2" s="1" t="s">
        <v>1773</v>
      </c>
      <c r="C2" s="1" t="s">
        <v>2340</v>
      </c>
      <c r="D2" s="1" t="s">
        <v>1447</v>
      </c>
    </row>
    <row r="3" spans="1:7" ht="16.5" customHeight="1">
      <c r="B3" s="1" t="s">
        <v>1780</v>
      </c>
      <c r="C3" s="1" t="s">
        <v>2340</v>
      </c>
      <c r="D3" s="1" t="s">
        <v>1447</v>
      </c>
    </row>
    <row r="4" spans="1:7" ht="16.5" customHeight="1">
      <c r="B4" s="1" t="s">
        <v>1785</v>
      </c>
      <c r="C4" s="1" t="s">
        <v>2340</v>
      </c>
      <c r="D4" s="1" t="s">
        <v>1447</v>
      </c>
    </row>
    <row r="5" spans="1:7" ht="16.5" customHeight="1">
      <c r="B5" s="1" t="s">
        <v>2094</v>
      </c>
      <c r="C5" s="1" t="s">
        <v>2340</v>
      </c>
      <c r="D5" s="1" t="s">
        <v>1447</v>
      </c>
    </row>
    <row r="6" spans="1:7" ht="16.5" customHeight="1">
      <c r="B6" s="1" t="s">
        <v>2042</v>
      </c>
      <c r="C6" s="1" t="s">
        <v>2340</v>
      </c>
      <c r="D6" s="1" t="s">
        <v>1447</v>
      </c>
    </row>
    <row r="7" spans="1:7" ht="16.5" customHeight="1">
      <c r="B7" s="1" t="s">
        <v>2088</v>
      </c>
      <c r="C7" s="1" t="s">
        <v>2340</v>
      </c>
      <c r="D7" s="1" t="s">
        <v>1447</v>
      </c>
    </row>
    <row r="8" spans="1:7" ht="16.5" customHeight="1">
      <c r="B8" s="1" t="s">
        <v>2054</v>
      </c>
      <c r="C8" s="1" t="s">
        <v>2340</v>
      </c>
      <c r="D8" s="1" t="s">
        <v>1447</v>
      </c>
    </row>
    <row r="9" spans="1:7" ht="16.5" customHeight="1">
      <c r="B9" s="1" t="s">
        <v>2319</v>
      </c>
      <c r="C9" s="1" t="s">
        <v>2340</v>
      </c>
      <c r="D9" s="1" t="s">
        <v>1447</v>
      </c>
    </row>
    <row r="10" spans="1:7" ht="16.5" customHeight="1">
      <c r="B10" s="1" t="s">
        <v>2355</v>
      </c>
      <c r="C10" s="1" t="s">
        <v>2340</v>
      </c>
      <c r="D10" s="1" t="s">
        <v>1447</v>
      </c>
    </row>
    <row r="11" spans="1:7" ht="16.5" customHeight="1">
      <c r="B11" s="1" t="s">
        <v>2292</v>
      </c>
      <c r="C11" s="1" t="s">
        <v>2340</v>
      </c>
      <c r="D11" s="1" t="s">
        <v>1447</v>
      </c>
    </row>
    <row r="12" spans="1:7" ht="16.5" customHeight="1">
      <c r="B12" s="1" t="s">
        <v>2356</v>
      </c>
      <c r="C12" s="1" t="s">
        <v>2340</v>
      </c>
      <c r="D12" s="1" t="s">
        <v>1447</v>
      </c>
    </row>
    <row r="13" spans="1:7" ht="16.5" customHeight="1">
      <c r="B13" s="1" t="s">
        <v>2357</v>
      </c>
      <c r="C13" s="1" t="s">
        <v>2340</v>
      </c>
      <c r="D13" s="1" t="s">
        <v>1447</v>
      </c>
    </row>
    <row r="14" spans="1:7" ht="16.5" customHeight="1">
      <c r="B14" s="1" t="s">
        <v>2320</v>
      </c>
      <c r="C14" s="1" t="s">
        <v>2340</v>
      </c>
      <c r="D14" s="1" t="s">
        <v>1447</v>
      </c>
    </row>
    <row r="15" spans="1:7" ht="16.5" customHeight="1">
      <c r="B15" s="1" t="s">
        <v>2358</v>
      </c>
      <c r="C15" s="1" t="s">
        <v>2340</v>
      </c>
      <c r="D15" s="1" t="s">
        <v>1447</v>
      </c>
    </row>
    <row r="16" spans="1:7" ht="16.5" customHeight="1">
      <c r="B16" s="1" t="s">
        <v>2359</v>
      </c>
      <c r="C16" s="1" t="s">
        <v>2340</v>
      </c>
      <c r="D16" s="1" t="s">
        <v>1447</v>
      </c>
    </row>
    <row r="17" spans="2:4" ht="16.5" customHeight="1">
      <c r="B17" s="1" t="s">
        <v>1753</v>
      </c>
      <c r="C17" s="1" t="s">
        <v>2340</v>
      </c>
      <c r="D17" s="1" t="s">
        <v>1447</v>
      </c>
    </row>
    <row r="18" spans="2:4" ht="16.5" customHeight="1">
      <c r="B18" s="1" t="s">
        <v>1768</v>
      </c>
      <c r="C18" s="1" t="s">
        <v>2340</v>
      </c>
      <c r="D18" s="1" t="s">
        <v>1447</v>
      </c>
    </row>
  </sheetData>
  <pageMargins left="0" right="0" top="0" bottom="0" header="0" footer="0"/>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
  <sheetViews>
    <sheetView workbookViewId="0"/>
  </sheetViews>
  <sheetFormatPr defaultColWidth="12.5546875" defaultRowHeight="16.5" customHeight="1"/>
  <sheetData>
    <row r="1" spans="1:1" ht="16.5" customHeight="1">
      <c r="A1" s="1" t="s">
        <v>2360</v>
      </c>
    </row>
  </sheetData>
  <pageMargins left="0" right="0" top="0" bottom="0" header="0" footer="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
  <sheetViews>
    <sheetView workbookViewId="0"/>
  </sheetViews>
  <sheetFormatPr defaultColWidth="12.5546875" defaultRowHeight="16.5" customHeight="1"/>
  <sheetData/>
  <pageMargins left="0" right="0" top="0" bottom="0" header="0" footer="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B361FA5A130B43848048CBF7F66989" ma:contentTypeVersion="14" ma:contentTypeDescription="Create a new document." ma:contentTypeScope="" ma:versionID="6e7403868b147168e7e9f0cd17dbaa06">
  <xsd:schema xmlns:xsd="http://www.w3.org/2001/XMLSchema" xmlns:xs="http://www.w3.org/2001/XMLSchema" xmlns:p="http://schemas.microsoft.com/office/2006/metadata/properties" xmlns:ns2="6ff6b750-f80c-4d65-bc26-691aa255be17" xmlns:ns3="99334f65-a899-4fa3-81ca-028a56321b8c" targetNamespace="http://schemas.microsoft.com/office/2006/metadata/properties" ma:root="true" ma:fieldsID="1e027c0aba435e3394c6b780bca6c667" ns2:_="" ns3:_="">
    <xsd:import namespace="6ff6b750-f80c-4d65-bc26-691aa255be17"/>
    <xsd:import namespace="99334f65-a899-4fa3-81ca-028a56321b8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f6b750-f80c-4d65-bc26-691aa255be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c9e7485-be34-49c4-99ae-4536981a188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9334f65-a899-4fa3-81ca-028a56321b8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a3436de-8542-4446-b217-330cdc9fcd56}" ma:internalName="TaxCatchAll" ma:showField="CatchAllData" ma:web="99334f65-a899-4fa3-81ca-028a56321b8c">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ff6b750-f80c-4d65-bc26-691aa255be17">
      <Terms xmlns="http://schemas.microsoft.com/office/infopath/2007/PartnerControls"/>
    </lcf76f155ced4ddcb4097134ff3c332f>
    <TaxCatchAll xmlns="99334f65-a899-4fa3-81ca-028a56321b8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6579D09A-991A-4C9E-9849-AB712D3A36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f6b750-f80c-4d65-bc26-691aa255be17"/>
    <ds:schemaRef ds:uri="99334f65-a899-4fa3-81ca-028a56321b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18D1011-18D6-40FC-9346-9E5CFFAAB29D}">
  <ds:schemaRefs>
    <ds:schemaRef ds:uri="http://schemas.microsoft.com/office/2006/metadata/properties"/>
    <ds:schemaRef ds:uri="http://schemas.microsoft.com/office/infopath/2007/PartnerControls"/>
    <ds:schemaRef ds:uri="6ff6b750-f80c-4d65-bc26-691aa255be17"/>
    <ds:schemaRef ds:uri="99334f65-a899-4fa3-81ca-028a56321b8c"/>
  </ds:schemaRefs>
</ds:datastoreItem>
</file>

<file path=customXml/itemProps3.xml><?xml version="1.0" encoding="utf-8"?>
<ds:datastoreItem xmlns:ds="http://schemas.openxmlformats.org/officeDocument/2006/customXml" ds:itemID="{FA44E729-ACE0-4F69-ADD7-3792231A044E}">
  <ds:schemaRefs>
    <ds:schemaRef ds:uri="http://schemas.microsoft.com/sharepoint/v3/contenttype/forms"/>
  </ds:schemaRefs>
</ds:datastoreItem>
</file>

<file path=customXml/itemProps4.xml><?xml version="1.0" encoding="utf-8"?>
<ds:datastoreItem xmlns:ds="http://schemas.openxmlformats.org/officeDocument/2006/customXml" ds:itemID="{E875828C-E32F-4813-B396-15B9DF31D7BC}">
  <ds:schemaRefs>
    <ds:schemaRef ds:uri="http://schemas.microsoft.com/DataMashup"/>
  </ds:schemaRefs>
</ds:datastoreItem>
</file>

<file path=docMetadata/LabelInfo.xml><?xml version="1.0" encoding="utf-8"?>
<clbl:labelList xmlns:clbl="http://schemas.microsoft.com/office/2020/mipLabelMetadata">
  <clbl:label id="{57d89df2-dd68-41c1-9b64-81f74f077112}" enabled="0" method="" siteId="{57d89df2-dd68-41c1-9b64-81f74f077112}"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2</vt:i4>
      </vt:variant>
    </vt:vector>
  </HeadingPairs>
  <TitlesOfParts>
    <vt:vector size="28" baseType="lpstr">
      <vt:lpstr>README</vt:lpstr>
      <vt:lpstr>Metadata</vt:lpstr>
      <vt:lpstr>Predefined</vt:lpstr>
      <vt:lpstr>Unique values</vt:lpstr>
      <vt:lpstr>Glossary</vt:lpstr>
      <vt:lpstr>Carrier</vt:lpstr>
      <vt:lpstr>Location</vt:lpstr>
      <vt:lpstr>Currency</vt:lpstr>
      <vt:lpstr>Process</vt:lpstr>
      <vt:lpstr>Process ID</vt:lpstr>
      <vt:lpstr>Technology ID</vt:lpstr>
      <vt:lpstr>LCA ID</vt:lpstr>
      <vt:lpstr>Reference ID</vt:lpstr>
      <vt:lpstr>SolarTech</vt:lpstr>
      <vt:lpstr>ConvTech</vt:lpstr>
      <vt:lpstr>StorTech</vt:lpstr>
      <vt:lpstr>TechMaturity</vt:lpstr>
      <vt:lpstr>ConvTech(old)</vt:lpstr>
      <vt:lpstr>Uncertainty</vt:lpstr>
      <vt:lpstr>Tech Constraints</vt:lpstr>
      <vt:lpstr>ImportExport Constraints</vt:lpstr>
      <vt:lpstr>Resource Constraints</vt:lpstr>
      <vt:lpstr>CO2 Constraints</vt:lpstr>
      <vt:lpstr>Tech data (long)</vt:lpstr>
      <vt:lpstr>System setup</vt:lpstr>
      <vt:lpstr>MOTEL</vt:lpstr>
      <vt:lpstr>Carrier!_FilterDatabase</vt:lpstr>
      <vt:lpstr>carrier_BioWet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Chen, Yi-Chung Barton</cp:lastModifiedBy>
  <cp:revision/>
  <dcterms:created xsi:type="dcterms:W3CDTF">2025-03-27T09:25:53Z</dcterms:created>
  <dcterms:modified xsi:type="dcterms:W3CDTF">2026-06-03T14:55:48Z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0x01010077B361FA5A130B43848048CBF7F66989</vt:lpwstr>
  </property>
  <property fmtid="{D5CDD505-2E9C-101B-9397-08002B2CF9AE}" pid="3" name="MediaServiceImageTags">
    <vt:lpwstr/>
  </property>
  <property fmtid="{D5CDD505-2E9C-101B-9397-08002B2CF9AE}" pid="4" name="MSIP_Label_10d9bad3-6dac-4e9a-89a3-89f3b8d247b2_Enabled">
    <vt:lpwstr>true</vt:lpwstr>
  </property>
  <property fmtid="{D5CDD505-2E9C-101B-9397-08002B2CF9AE}" pid="5" name="MSIP_Label_10d9bad3-6dac-4e9a-89a3-89f3b8d247b2_SetDate">
    <vt:lpwstr>2025-04-01T14:17:01Z</vt:lpwstr>
  </property>
  <property fmtid="{D5CDD505-2E9C-101B-9397-08002B2CF9AE}" pid="6" name="MSIP_Label_10d9bad3-6dac-4e9a-89a3-89f3b8d247b2_Method">
    <vt:lpwstr>Standard</vt:lpwstr>
  </property>
  <property fmtid="{D5CDD505-2E9C-101B-9397-08002B2CF9AE}" pid="7" name="MSIP_Label_10d9bad3-6dac-4e9a-89a3-89f3b8d247b2_Name">
    <vt:lpwstr>10d9bad3-6dac-4e9a-89a3-89f3b8d247b2</vt:lpwstr>
  </property>
  <property fmtid="{D5CDD505-2E9C-101B-9397-08002B2CF9AE}" pid="8" name="MSIP_Label_10d9bad3-6dac-4e9a-89a3-89f3b8d247b2_SiteId">
    <vt:lpwstr>5d1a9f9d-201f-4a10-b983-451cf65cbc1e</vt:lpwstr>
  </property>
  <property fmtid="{D5CDD505-2E9C-101B-9397-08002B2CF9AE}" pid="9" name="MSIP_Label_10d9bad3-6dac-4e9a-89a3-89f3b8d247b2_ActionId">
    <vt:lpwstr>1766d9e0-e88c-46d6-a734-207b6b742c4a</vt:lpwstr>
  </property>
  <property fmtid="{D5CDD505-2E9C-101B-9397-08002B2CF9AE}" pid="10" name="MSIP_Label_10d9bad3-6dac-4e9a-89a3-89f3b8d247b2_ContentBits">
    <vt:lpwstr>0</vt:lpwstr>
  </property>
</Properties>
</file>